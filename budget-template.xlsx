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 Page" sheetId="1" r:id="rId5"/>
    <sheet state="visible" name="Goals &amp; Options" sheetId="2" r:id="rId6"/>
    <sheet state="visible" name="Budgeting" sheetId="3" r:id="rId7"/>
    <sheet state="visible" name="Basic Savings" sheetId="4" r:id="rId8"/>
    <sheet state="visible" name="Advanced Savings" sheetId="5" r:id="rId9"/>
    <sheet state="visible" name="Income" sheetId="6" r:id="rId10"/>
    <sheet state="visible" name="Housing Costs" sheetId="7" r:id="rId11"/>
    <sheet state="visible" name="Super Data" sheetId="8" r:id="rId12"/>
    <sheet state="visible" name="Logic Sheet" sheetId="9" r:id="rId13"/>
  </sheets>
  <definedNames/>
  <calcPr fullCalcOnLoad="1"/>
</workbook>
</file>

<file path=xl/sharedStrings.xml><?xml version="1.0" encoding="utf-8"?>
<sst xmlns="http://schemas.openxmlformats.org/spreadsheetml/2006/main" count="424" uniqueCount="167">
  <si>
    <t>Car Budget?</t>
  </si>
  <si>
    <t>Saving Goals</t>
  </si>
  <si>
    <t>Legend</t>
  </si>
  <si>
    <t>Saving</t>
  </si>
  <si>
    <t>Mortgage / Debt Options</t>
  </si>
  <si>
    <t>Able to save with</t>
  </si>
  <si>
    <t>Mortgage / Debt Options (Not working)</t>
  </si>
  <si>
    <t>No Sacrifice</t>
  </si>
  <si>
    <t>Super Sacrifice</t>
  </si>
  <si>
    <t>Emergency Fund</t>
  </si>
  <si>
    <t>Month</t>
  </si>
  <si>
    <t>Yep thats all, the rest was just me cookin</t>
  </si>
  <si>
    <t>Current Budget</t>
  </si>
  <si>
    <t>Option 1 - Pay it off</t>
  </si>
  <si>
    <t>Family</t>
  </si>
  <si>
    <t>Option 2 - Save it all</t>
  </si>
  <si>
    <t>User Inputs</t>
  </si>
  <si>
    <t>Option 3 - Half/Half</t>
  </si>
  <si>
    <t>P1</t>
  </si>
  <si>
    <t>P2</t>
  </si>
  <si>
    <t>Joint Income</t>
  </si>
  <si>
    <t>Mortgage</t>
  </si>
  <si>
    <t>Phone + Insurance</t>
  </si>
  <si>
    <t>Phone</t>
  </si>
  <si>
    <t>Repayments</t>
  </si>
  <si>
    <t>Saved</t>
  </si>
  <si>
    <t>Assuming no returns, fees or interest, only initial tax</t>
  </si>
  <si>
    <t>Months</t>
  </si>
  <si>
    <t>Rego</t>
  </si>
  <si>
    <t>Year</t>
  </si>
  <si>
    <t>3 Year</t>
  </si>
  <si>
    <t>Electricity</t>
  </si>
  <si>
    <t>New Car</t>
  </si>
  <si>
    <t>5 Year</t>
  </si>
  <si>
    <t>Ratio</t>
  </si>
  <si>
    <t>Car Insurance</t>
  </si>
  <si>
    <t>Yearly Remainder</t>
  </si>
  <si>
    <t>Internet</t>
  </si>
  <si>
    <t>Car Service</t>
  </si>
  <si>
    <t>Gas</t>
  </si>
  <si>
    <t>The goal here is keep yearly remainder the same</t>
  </si>
  <si>
    <t>Savings Split</t>
  </si>
  <si>
    <t>Total Saved</t>
  </si>
  <si>
    <t>Held in Bank</t>
  </si>
  <si>
    <t>Held in Super</t>
  </si>
  <si>
    <t>Save-able Income</t>
  </si>
  <si>
    <t>Dinner Boxes</t>
  </si>
  <si>
    <t>Expense Settings</t>
  </si>
  <si>
    <t>Prime</t>
  </si>
  <si>
    <t>All Joint</t>
  </si>
  <si>
    <t>Income Ratio</t>
  </si>
  <si>
    <t>Monthly</t>
  </si>
  <si>
    <t>Gym</t>
  </si>
  <si>
    <t>Rates</t>
  </si>
  <si>
    <t>Roomie</t>
  </si>
  <si>
    <t>Savings</t>
  </si>
  <si>
    <t>Water</t>
  </si>
  <si>
    <t>No Roomate</t>
  </si>
  <si>
    <t>Add to income</t>
  </si>
  <si>
    <t>Bank Interest</t>
  </si>
  <si>
    <t>Novated Lease</t>
  </si>
  <si>
    <t>Overflow</t>
  </si>
  <si>
    <t>Annual</t>
  </si>
  <si>
    <t>Total Month</t>
  </si>
  <si>
    <t>Total Expense</t>
  </si>
  <si>
    <t>Guess Interest Tax</t>
  </si>
  <si>
    <t>P2 (Fortnightly)</t>
  </si>
  <si>
    <t>Person 1</t>
  </si>
  <si>
    <t>Months to gather</t>
  </si>
  <si>
    <t>Total Income</t>
  </si>
  <si>
    <t>Monthly Income</t>
  </si>
  <si>
    <t>Fortnightly Income</t>
  </si>
  <si>
    <t>Super Fund</t>
  </si>
  <si>
    <t>Joint After Bills</t>
  </si>
  <si>
    <t>Aware Super</t>
  </si>
  <si>
    <t>Remainder</t>
  </si>
  <si>
    <t>Total</t>
  </si>
  <si>
    <t>General</t>
  </si>
  <si>
    <t>Starting Amount</t>
  </si>
  <si>
    <t>Shared Account</t>
  </si>
  <si>
    <t>Bank</t>
  </si>
  <si>
    <t>\</t>
  </si>
  <si>
    <t>Normal Income</t>
  </si>
  <si>
    <t>Take Home</t>
  </si>
  <si>
    <t>Totals</t>
  </si>
  <si>
    <t>After Super</t>
  </si>
  <si>
    <t>After Tax</t>
  </si>
  <si>
    <t>After Hex</t>
  </si>
  <si>
    <t>LITO</t>
  </si>
  <si>
    <t>After Medicare</t>
  </si>
  <si>
    <t>Salary Package</t>
  </si>
  <si>
    <t>Investments</t>
  </si>
  <si>
    <t>Yearly</t>
  </si>
  <si>
    <t>Roomate Total</t>
  </si>
  <si>
    <t>Invest</t>
  </si>
  <si>
    <t>Gifts</t>
  </si>
  <si>
    <t>Total Interest</t>
  </si>
  <si>
    <t>Discrepancy</t>
  </si>
  <si>
    <t>Super</t>
  </si>
  <si>
    <t>Reductions</t>
  </si>
  <si>
    <t xml:space="preserve">Total </t>
  </si>
  <si>
    <t>+ Interest Earned On Excess</t>
  </si>
  <si>
    <t>New Interest</t>
  </si>
  <si>
    <t>FU Money</t>
  </si>
  <si>
    <t>After Super Sacrifice</t>
  </si>
  <si>
    <t>Sacrifice Amount</t>
  </si>
  <si>
    <t>Person 2</t>
  </si>
  <si>
    <t>Expenses</t>
  </si>
  <si>
    <t>Expenses (FN)</t>
  </si>
  <si>
    <t>Rest</t>
  </si>
  <si>
    <t>Save &amp; Inv</t>
  </si>
  <si>
    <t>Saved &amp; Invested</t>
  </si>
  <si>
    <t>Save&amp; Invest (FN)</t>
  </si>
  <si>
    <t>Keep in mind anything above 15K a year cannot be used for the house deposit (1250p/month)</t>
  </si>
  <si>
    <t>Technically Earned</t>
  </si>
  <si>
    <t>Accounts</t>
  </si>
  <si>
    <t>Planning</t>
  </si>
  <si>
    <t>Offset</t>
  </si>
  <si>
    <t>No Super Sacrifice</t>
  </si>
  <si>
    <t xml:space="preserve"> </t>
  </si>
  <si>
    <t>Card</t>
  </si>
  <si>
    <t>Super Tax</t>
  </si>
  <si>
    <t>Total Tax</t>
  </si>
  <si>
    <t>Broken</t>
  </si>
  <si>
    <t>Property Value</t>
  </si>
  <si>
    <t>Estimated Up Front Costs</t>
  </si>
  <si>
    <t>Savings Account</t>
  </si>
  <si>
    <t>Stamp Duty</t>
  </si>
  <si>
    <t>Super Index Reference</t>
  </si>
  <si>
    <t>Fixed p.a</t>
  </si>
  <si>
    <t>% of AUM</t>
  </si>
  <si>
    <t>Admin fee cap</t>
  </si>
  <si>
    <t>Investment fees</t>
  </si>
  <si>
    <t>Nil</t>
  </si>
  <si>
    <t>Performance</t>
  </si>
  <si>
    <t>Name</t>
  </si>
  <si>
    <t>1 year</t>
  </si>
  <si>
    <t>3 years</t>
  </si>
  <si>
    <t>5 years</t>
  </si>
  <si>
    <t>Deposit</t>
  </si>
  <si>
    <t>Tax Bracket</t>
  </si>
  <si>
    <t>Government</t>
  </si>
  <si>
    <t>Mortgage Rego</t>
  </si>
  <si>
    <t>Max FHSS Release Ammount</t>
  </si>
  <si>
    <t>Transfer Fee</t>
  </si>
  <si>
    <t>Total Deposit</t>
  </si>
  <si>
    <t>Title Search</t>
  </si>
  <si>
    <t>Stocks / Investments</t>
  </si>
  <si>
    <t>0.07% / 0%</t>
  </si>
  <si>
    <t>Conveyancing</t>
  </si>
  <si>
    <t>Loan Required</t>
  </si>
  <si>
    <t>Total Up-Front Costs</t>
  </si>
  <si>
    <t>Friend/Fam Gift</t>
  </si>
  <si>
    <t>Loan / Value Ratio</t>
  </si>
  <si>
    <t>Any Extras</t>
  </si>
  <si>
    <t>Estimated Repayments</t>
  </si>
  <si>
    <t>First Home Buyer?</t>
  </si>
  <si>
    <t>Total Coushion Needed</t>
  </si>
  <si>
    <t>Willing Savings</t>
  </si>
  <si>
    <t>Loan Term</t>
  </si>
  <si>
    <t>Total Savings</t>
  </si>
  <si>
    <t>30</t>
  </si>
  <si>
    <t>Interest Rate</t>
  </si>
  <si>
    <t>"Genuine Savings" only taken into account when you select "Using Loan For Extra Costs".</t>
  </si>
  <si>
    <t>Avg 1</t>
  </si>
  <si>
    <t>avg 3</t>
  </si>
  <si>
    <t>avg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</si>
</sst>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&quot;$&quot;* #,##0.00_-;\-&quot;$&quot;* #,##0.00_-;_-&quot;$&quot;* &quot;-&quot;??_-;_-@"/>
    <numFmt numFmtId="165" formatCode="&quot;$&quot;#,##0.00"/>
    <numFmt numFmtId="166" formatCode="#,##"/>
    <numFmt numFmtId="167" formatCode="_-[$$-C09]* #,##0.00_-;\-[$$-C09]* #,##0.00_-;_-[$$-C09]* &quot;-&quot;??_-;_-@"/>
    <numFmt numFmtId="168" formatCode="&quot;$&quot;#,##0"/>
    <numFmt numFmtId="169" formatCode="0.000"/>
    <numFmt numFmtId="170" formatCode="dd/MM/yyyy"/>
  </numFmts>
  <fonts count="34">
    <font>
      <sz val="11.0"/>
      <color theme="1"/>
      <name val="Calibri"/>
      <scheme val="minor"/>
    </font>
    <font>
      <b/>
      <sz val="11.0"/>
      <color theme="1"/>
      <name val="Calibri"/>
    </font>
    <font>
      <b/>
      <sz val="16.0"/>
      <color rgb="FFFFFFFF"/>
      <name val="Calibri"/>
      <scheme val="minor"/>
    </font>
    <font/>
    <font>
      <b/>
      <sz val="16.0"/>
      <color theme="1"/>
      <name val="Calibri"/>
      <scheme val="minor"/>
    </font>
    <font>
      <b/>
      <sz val="15.0"/>
      <color theme="1"/>
      <name val="Calibri"/>
      <scheme val="minor"/>
    </font>
    <font>
      <sz val="16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13.0"/>
      <color theme="1"/>
      <name val="Calibri"/>
      <scheme val="minor"/>
    </font>
    <font>
      <sz val="14.0"/>
      <color theme="1"/>
      <name val="Calibri"/>
      <scheme val="minor"/>
    </font>
    <font>
      <sz val="13.0"/>
      <color theme="1"/>
      <name val="Calibri"/>
      <scheme val="minor"/>
    </font>
    <font>
      <b/>
      <sz val="17.0"/>
      <color theme="1"/>
      <name val="Calibri"/>
      <scheme val="minor"/>
    </font>
    <font>
      <b/>
      <sz val="13.0"/>
      <color rgb="FFFFFFFF"/>
      <name val="Calibri"/>
      <scheme val="minor"/>
    </font>
    <font>
      <b/>
      <sz val="12.0"/>
      <color rgb="FFFFFFFF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  <scheme val="minor"/>
    </font>
    <font>
      <sz val="12.0"/>
      <color theme="1"/>
      <name val="Calibri"/>
    </font>
    <font>
      <sz val="9.0"/>
      <color rgb="FF000000"/>
      <name val="&quot;Google Sans Mono&quot;"/>
    </font>
    <font>
      <color rgb="FF3266D5"/>
      <name val="Inconsolata"/>
    </font>
    <font>
      <sz val="9.0"/>
      <color rgb="FF1155CC"/>
      <name val="&quot;Google Sans Mono&quot;"/>
    </font>
    <font>
      <color rgb="FF000000"/>
      <name val="Roboto"/>
    </font>
    <font>
      <b/>
      <sz val="13.0"/>
      <color theme="1"/>
      <name val="Calibri"/>
    </font>
    <font>
      <b/>
      <color theme="1"/>
      <name val="Calibri"/>
      <scheme val="minor"/>
    </font>
    <font>
      <sz val="9.0"/>
      <color theme="1"/>
      <name val="Google Sans Mono"/>
    </font>
    <font>
      <strike/>
      <color theme="1"/>
      <name val="Calibri"/>
      <scheme val="minor"/>
    </font>
    <font>
      <sz val="11.0"/>
      <color rgb="FF222222"/>
      <name val="Arial"/>
    </font>
    <font>
      <sz val="9.0"/>
      <color rgb="FFF7981D"/>
      <name val="&quot;Google Sans Mono&quot;"/>
    </font>
    <font>
      <u/>
      <color rgb="FF0000FF"/>
    </font>
    <font>
      <b/>
      <sz val="16.0"/>
      <color theme="1"/>
      <name val="Calibri"/>
    </font>
    <font>
      <b/>
      <sz val="18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000000"/>
        <bgColor rgb="FF000000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53">
    <border/>
    <border>
      <lef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/>
      <bottom/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top style="thick">
        <color rgb="FF000000"/>
      </top>
      <bottom style="thick">
        <color rgb="FF000000"/>
      </bottom>
    </border>
    <border>
      <left/>
      <right/>
      <top/>
      <bottom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1" numFmtId="164" xfId="0" applyBorder="1" applyFill="1" applyFont="1" applyNumberFormat="1"/>
    <xf borderId="8" fillId="3" fontId="2" numFmtId="0" xfId="0" applyAlignment="1" applyBorder="1" applyFill="1" applyFont="1">
      <alignment horizontal="center" readingOrder="0" vertical="center"/>
    </xf>
    <xf borderId="7" fillId="5" fontId="1" numFmtId="164" xfId="0" applyBorder="1" applyFill="1" applyFont="1" applyNumberFormat="1"/>
    <xf borderId="9" fillId="0" fontId="3" numFmtId="0" xfId="0" applyBorder="1" applyFont="1"/>
    <xf borderId="0" fillId="0" fontId="1" numFmtId="164" xfId="0" applyFont="1" applyNumberFormat="1"/>
    <xf borderId="0" fillId="0" fontId="4" numFmtId="0" xfId="0" applyAlignment="1" applyFont="1">
      <alignment readingOrder="0"/>
    </xf>
    <xf borderId="10" fillId="6" fontId="5" numFmtId="0" xfId="0" applyAlignment="1" applyBorder="1" applyFill="1" applyFont="1">
      <alignment horizontal="center" readingOrder="0" vertical="center"/>
    </xf>
    <xf borderId="0" fillId="0" fontId="6" numFmtId="0" xfId="0" applyFont="1"/>
    <xf borderId="11" fillId="0" fontId="3" numFmtId="0" xfId="0" applyBorder="1" applyFont="1"/>
    <xf borderId="7" fillId="7" fontId="1" numFmtId="0" xfId="0" applyBorder="1" applyFill="1" applyFont="1"/>
    <xf borderId="0" fillId="0" fontId="7" numFmtId="0" xfId="0" applyAlignment="1" applyFont="1">
      <alignment horizontal="center" readingOrder="0" vertical="center"/>
    </xf>
    <xf borderId="2" fillId="6" fontId="5" numFmtId="0" xfId="0" applyAlignment="1" applyBorder="1" applyFill="1" applyFont="1">
      <alignment horizontal="center" readingOrder="0"/>
    </xf>
    <xf borderId="12" fillId="8" fontId="1" numFmtId="0" xfId="0" applyAlignment="1" applyBorder="1" applyFill="1" applyFont="1">
      <alignment horizontal="center" readingOrder="0" vertical="center"/>
    </xf>
    <xf borderId="6" fillId="6" fontId="5" numFmtId="0" xfId="0" applyAlignment="1" applyBorder="1" applyFill="1" applyFont="1">
      <alignment horizontal="center" readingOrder="0"/>
    </xf>
    <xf borderId="4" fillId="9" fontId="8" numFmtId="164" xfId="0" applyAlignment="1" applyBorder="1" applyFill="1" applyFont="1" applyNumberFormat="1">
      <alignment horizontal="center" readingOrder="0" vertical="center"/>
    </xf>
    <xf borderId="13" fillId="6" fontId="5" numFmtId="0" xfId="0" applyAlignment="1" applyBorder="1" applyFill="1" applyFont="1">
      <alignment horizontal="center" readingOrder="0"/>
    </xf>
    <xf borderId="14" fillId="0" fontId="3" numFmtId="0" xfId="0" applyBorder="1" applyFont="1"/>
    <xf borderId="15" fillId="0" fontId="3" numFmtId="0" xfId="0" applyBorder="1" applyFont="1"/>
    <xf borderId="7" fillId="10" fontId="8" numFmtId="164" xfId="0" applyBorder="1" applyFill="1" applyFont="1" applyNumberFormat="1"/>
    <xf borderId="10" fillId="7" fontId="9" numFmtId="0" xfId="0" applyAlignment="1" applyBorder="1" applyFill="1" applyFont="1">
      <alignment horizontal="center" vertical="center"/>
    </xf>
    <xf borderId="2" fillId="4" fontId="10" numFmtId="0" xfId="0" applyAlignment="1" applyBorder="1" applyFill="1" applyFont="1">
      <alignment horizontal="center" readingOrder="0"/>
    </xf>
    <xf borderId="13" fillId="3" fontId="7" numFmtId="0" xfId="0" applyBorder="1" applyFill="1" applyFont="1"/>
    <xf borderId="4" fillId="7" fontId="11" numFmtId="4" xfId="0" applyAlignment="1" applyBorder="1" applyFill="1" applyFont="1" applyNumberFormat="1">
      <alignment horizontal="center" readingOrder="0"/>
    </xf>
    <xf borderId="15" fillId="3" fontId="7" numFmtId="0" xfId="0" applyBorder="1" applyFill="1" applyFont="1"/>
    <xf borderId="13" fillId="8" fontId="12" numFmtId="0" xfId="0" applyAlignment="1" applyBorder="1" applyFill="1" applyFont="1">
      <alignment readingOrder="0"/>
    </xf>
    <xf borderId="14" fillId="3" fontId="7" numFmtId="0" xfId="0" applyBorder="1" applyFill="1" applyFont="1"/>
    <xf borderId="14" fillId="9" fontId="10" numFmtId="165" xfId="0" applyAlignment="1" applyBorder="1" applyFill="1" applyFont="1" applyNumberFormat="1">
      <alignment readingOrder="0"/>
    </xf>
    <xf borderId="16" fillId="8" fontId="12" numFmtId="0" xfId="0" applyAlignment="1" applyBorder="1" applyFill="1" applyFont="1">
      <alignment horizontal="center" readingOrder="0" vertical="center"/>
    </xf>
    <xf borderId="0" fillId="0" fontId="8" numFmtId="164" xfId="0" applyFont="1" applyNumberFormat="1"/>
    <xf borderId="0" fillId="0" fontId="13" numFmtId="0" xfId="0" applyFont="1"/>
    <xf borderId="2" fillId="8" fontId="9" numFmtId="0" xfId="0" applyAlignment="1" applyBorder="1" applyFill="1" applyFont="1">
      <alignment horizontal="center" readingOrder="0" vertical="center"/>
    </xf>
    <xf borderId="17" fillId="0" fontId="8" numFmtId="0" xfId="0" applyAlignment="1" applyBorder="1" applyFont="1">
      <alignment horizontal="center" shrinkToFit="0" vertical="center" wrapText="1"/>
    </xf>
    <xf borderId="4" fillId="9" fontId="9" numFmtId="166" xfId="0" applyAlignment="1" applyBorder="1" applyFill="1" applyFont="1" applyNumberFormat="1">
      <alignment horizontal="center" readingOrder="0" vertical="center"/>
    </xf>
    <xf borderId="18" fillId="0" fontId="3" numFmtId="0" xfId="0" applyBorder="1" applyFont="1"/>
    <xf borderId="10" fillId="7" fontId="11" numFmtId="167" xfId="0" applyAlignment="1" applyBorder="1" applyFill="1" applyFont="1" applyNumberFormat="1">
      <alignment horizontal="center"/>
    </xf>
    <xf borderId="10" fillId="3" fontId="7" numFmtId="0" xfId="0" applyBorder="1" applyFill="1" applyFont="1"/>
    <xf borderId="19" fillId="0" fontId="3" numFmtId="0" xfId="0" applyBorder="1" applyFont="1"/>
    <xf borderId="0" fillId="3" fontId="7" numFmtId="0" xfId="0" applyFill="1" applyFont="1"/>
    <xf borderId="11" fillId="3" fontId="7" numFmtId="0" xfId="0" applyBorder="1" applyFill="1" applyFont="1"/>
    <xf borderId="20" fillId="9" fontId="12" numFmtId="0" xfId="0" applyAlignment="1" applyBorder="1" applyFill="1" applyFont="1">
      <alignment horizontal="center" readingOrder="0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0" fillId="8" fontId="12" numFmtId="0" xfId="0" applyAlignment="1" applyBorder="1" applyFill="1" applyFont="1">
      <alignment readingOrder="0"/>
    </xf>
    <xf borderId="25" fillId="0" fontId="3" numFmtId="0" xfId="0" applyBorder="1" applyFont="1"/>
    <xf borderId="11" fillId="9" fontId="10" numFmtId="165" xfId="0" applyAlignment="1" applyBorder="1" applyFill="1" applyFont="1" applyNumberFormat="1">
      <alignment readingOrder="0"/>
    </xf>
    <xf borderId="10" fillId="4" fontId="9" numFmtId="0" xfId="0" applyAlignment="1" applyBorder="1" applyFill="1" applyFont="1">
      <alignment horizontal="center" readingOrder="0"/>
    </xf>
    <xf borderId="7" fillId="4" fontId="1" numFmtId="0" xfId="0" applyBorder="1" applyFill="1" applyFont="1"/>
    <xf borderId="10" fillId="4" fontId="10" numFmtId="0" xfId="0" applyAlignment="1" applyBorder="1" applyFill="1" applyFont="1">
      <alignment horizontal="center" readingOrder="0"/>
    </xf>
    <xf borderId="11" fillId="4" fontId="10" numFmtId="0" xfId="0" applyAlignment="1" applyBorder="1" applyFill="1" applyFont="1">
      <alignment horizontal="center" readingOrder="0"/>
    </xf>
    <xf borderId="0" fillId="0" fontId="8" numFmtId="164" xfId="0" applyAlignment="1" applyFont="1" applyNumberFormat="1">
      <alignment horizontal="center" vertical="center"/>
    </xf>
    <xf borderId="8" fillId="7" fontId="11" numFmtId="10" xfId="0" applyAlignment="1" applyBorder="1" applyFill="1" applyFont="1" applyNumberFormat="1">
      <alignment horizontal="center"/>
    </xf>
    <xf borderId="26" fillId="7" fontId="11" numFmtId="10" xfId="0" applyAlignment="1" applyBorder="1" applyFill="1" applyFont="1" applyNumberFormat="1">
      <alignment horizontal="center"/>
    </xf>
    <xf borderId="27" fillId="11" fontId="8" numFmtId="0" xfId="0" applyAlignment="1" applyBorder="1" applyFill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10" fillId="7" fontId="9" numFmtId="165" xfId="0" applyAlignment="1" applyBorder="1" applyFill="1" applyFont="1" applyNumberFormat="1">
      <alignment horizontal="center" vertical="center"/>
    </xf>
    <xf borderId="0" fillId="9" fontId="10" numFmtId="165" xfId="0" applyAlignment="1" applyFill="1" applyFont="1" applyNumberFormat="1">
      <alignment readingOrder="0"/>
    </xf>
    <xf borderId="13" fillId="8" fontId="12" numFmtId="0" xfId="0" applyAlignment="1" applyBorder="1" applyFill="1" applyFont="1">
      <alignment horizontal="center" readingOrder="0"/>
    </xf>
    <xf borderId="14" fillId="8" fontId="12" numFmtId="0" xfId="0" applyAlignment="1" applyBorder="1" applyFill="1" applyFont="1">
      <alignment horizontal="center" readingOrder="0"/>
    </xf>
    <xf borderId="30" fillId="8" fontId="8" numFmtId="0" xfId="0" applyAlignment="1" applyBorder="1" applyFill="1" applyFont="1">
      <alignment horizontal="center" vertical="center"/>
    </xf>
    <xf borderId="17" fillId="9" fontId="8" numFmtId="164" xfId="0" applyAlignment="1" applyBorder="1" applyFill="1" applyFont="1" applyNumberFormat="1">
      <alignment horizontal="center" readingOrder="0" vertical="center"/>
    </xf>
    <xf borderId="8" fillId="9" fontId="12" numFmtId="0" xfId="0" applyAlignment="1" applyBorder="1" applyFill="1" applyFont="1">
      <alignment horizontal="center" readingOrder="0" vertical="center"/>
    </xf>
    <xf borderId="26" fillId="9" fontId="12" numFmtId="0" xfId="0" applyAlignment="1" applyBorder="1" applyFill="1" applyFont="1">
      <alignment horizontal="center" readingOrder="0" vertical="center"/>
    </xf>
    <xf borderId="31" fillId="0" fontId="3" numFmtId="0" xfId="0" applyBorder="1" applyFont="1"/>
    <xf borderId="32" fillId="6" fontId="5" numFmtId="0" xfId="0" applyAlignment="1" applyBorder="1" applyFill="1" applyFont="1">
      <alignment horizontal="center" readingOrder="0"/>
    </xf>
    <xf borderId="33" fillId="0" fontId="3" numFmtId="0" xfId="0" applyBorder="1" applyFont="1"/>
    <xf borderId="1" fillId="2" fontId="1" numFmtId="0" xfId="0" applyAlignment="1" applyBorder="1" applyFill="1" applyFont="1">
      <alignment horizontal="center" readingOrder="0" vertical="center"/>
    </xf>
    <xf borderId="13" fillId="8" fontId="5" numFmtId="0" xfId="0" applyAlignment="1" applyBorder="1" applyFill="1" applyFont="1">
      <alignment horizontal="center" readingOrder="0"/>
    </xf>
    <xf borderId="14" fillId="8" fontId="5" numFmtId="0" xfId="0" applyAlignment="1" applyBorder="1" applyFill="1" applyFont="1">
      <alignment horizontal="center" readingOrder="0"/>
    </xf>
    <xf borderId="7" fillId="5" fontId="8" numFmtId="164" xfId="0" applyBorder="1" applyFill="1" applyFont="1" applyNumberFormat="1"/>
    <xf borderId="8" fillId="9" fontId="5" numFmtId="0" xfId="0" applyAlignment="1" applyBorder="1" applyFill="1" applyFont="1">
      <alignment horizontal="center" readingOrder="0" vertical="center"/>
    </xf>
    <xf borderId="26" fillId="9" fontId="5" numFmtId="0" xfId="0" applyAlignment="1" applyBorder="1" applyFill="1" applyFont="1">
      <alignment horizontal="center" readingOrder="0" vertical="center"/>
    </xf>
    <xf borderId="7" fillId="5" fontId="1" numFmtId="164" xfId="0" applyAlignment="1" applyBorder="1" applyFill="1" applyFont="1" applyNumberFormat="1">
      <alignment readingOrder="0"/>
    </xf>
    <xf borderId="8" fillId="8" fontId="14" numFmtId="0" xfId="0" applyBorder="1" applyFill="1" applyFont="1"/>
    <xf borderId="26" fillId="9" fontId="10" numFmtId="165" xfId="0" applyBorder="1" applyFill="1" applyFont="1" applyNumberFormat="1"/>
    <xf borderId="13" fillId="8" fontId="5" numFmtId="0" xfId="0" applyAlignment="1" applyBorder="1" applyFill="1" applyFont="1">
      <alignment readingOrder="0"/>
    </xf>
    <xf borderId="30" fillId="8" fontId="8" numFmtId="0" xfId="0" applyAlignment="1" applyBorder="1" applyFill="1" applyFont="1">
      <alignment horizontal="center" readingOrder="0" vertical="center"/>
    </xf>
    <xf borderId="11" fillId="9" fontId="5" numFmtId="165" xfId="0" applyAlignment="1" applyBorder="1" applyFill="1" applyFont="1" applyNumberFormat="1">
      <alignment readingOrder="0"/>
    </xf>
    <xf borderId="7" fillId="4" fontId="8" numFmtId="164" xfId="0" applyBorder="1" applyFill="1" applyFont="1" applyNumberFormat="1"/>
    <xf borderId="2" fillId="4" fontId="9" numFmtId="0" xfId="0" applyAlignment="1" applyBorder="1" applyFill="1" applyFont="1">
      <alignment readingOrder="0"/>
    </xf>
    <xf borderId="17" fillId="9" fontId="8" numFmtId="10" xfId="0" applyAlignment="1" applyBorder="1" applyFill="1" applyFont="1" applyNumberFormat="1">
      <alignment horizontal="center" readingOrder="0" vertical="center"/>
    </xf>
    <xf borderId="4" fillId="7" fontId="10" numFmtId="165" xfId="0" applyAlignment="1" applyBorder="1" applyFill="1" applyFont="1" applyNumberFormat="1">
      <alignment readingOrder="0"/>
    </xf>
    <xf borderId="4" fillId="7" fontId="10" numFmtId="165" xfId="0" applyBorder="1" applyFill="1" applyFont="1" applyNumberFormat="1"/>
    <xf borderId="10" fillId="8" fontId="5" numFmtId="0" xfId="0" applyAlignment="1" applyBorder="1" applyFill="1" applyFont="1">
      <alignment readingOrder="0"/>
    </xf>
    <xf borderId="0" fillId="0" fontId="7" numFmtId="164" xfId="0" applyFont="1" applyNumberFormat="1"/>
    <xf borderId="13" fillId="4" fontId="9" numFmtId="0" xfId="0" applyAlignment="1" applyBorder="1" applyFill="1" applyFont="1">
      <alignment readingOrder="0"/>
    </xf>
    <xf borderId="14" fillId="7" fontId="10" numFmtId="165" xfId="0" applyBorder="1" applyFill="1" applyFont="1" applyNumberFormat="1"/>
    <xf borderId="27" fillId="11" fontId="8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17" fillId="9" fontId="8" numFmtId="0" xfId="0" applyAlignment="1" applyBorder="1" applyFill="1" applyFont="1">
      <alignment horizontal="center" readingOrder="0" vertical="center"/>
    </xf>
    <xf borderId="13" fillId="3" fontId="16" numFmtId="0" xfId="0" applyAlignment="1" applyBorder="1" applyFill="1" applyFont="1">
      <alignment readingOrder="0"/>
    </xf>
    <xf borderId="15" fillId="3" fontId="17" numFmtId="165" xfId="0" applyBorder="1" applyFill="1" applyFont="1" applyNumberFormat="1"/>
    <xf borderId="13" fillId="5" fontId="10" numFmtId="0" xfId="0" applyAlignment="1" applyBorder="1" applyFill="1" applyFont="1">
      <alignment readingOrder="0"/>
    </xf>
    <xf borderId="15" fillId="0" fontId="0" numFmtId="165" xfId="0" applyBorder="1" applyFont="1" applyNumberFormat="1"/>
    <xf borderId="15" fillId="5" fontId="18" numFmtId="0" xfId="0" applyAlignment="1" applyBorder="1" applyFill="1" applyFont="1">
      <alignment readingOrder="0" vertical="bottom"/>
    </xf>
    <xf borderId="14" fillId="0" fontId="8" numFmtId="165" xfId="0" applyAlignment="1" applyBorder="1" applyFont="1" applyNumberFormat="1">
      <alignment horizontal="right" vertical="bottom"/>
    </xf>
    <xf borderId="8" fillId="3" fontId="16" numFmtId="0" xfId="0" applyAlignment="1" applyBorder="1" applyFill="1" applyFont="1">
      <alignment horizontal="center" readingOrder="0" vertical="center"/>
    </xf>
    <xf borderId="10" fillId="4" fontId="11" numFmtId="0" xfId="0" applyAlignment="1" applyBorder="1" applyFill="1" applyFont="1">
      <alignment readingOrder="0"/>
    </xf>
    <xf borderId="0" fillId="7" fontId="19" numFmtId="165" xfId="0" applyFill="1" applyFont="1" applyNumberFormat="1"/>
    <xf borderId="0" fillId="4" fontId="20" numFmtId="0" xfId="0" applyAlignment="1" applyFill="1" applyFont="1">
      <alignment vertical="bottom"/>
    </xf>
    <xf borderId="11" fillId="7" fontId="1" numFmtId="165" xfId="0" applyAlignment="1" applyBorder="1" applyFill="1" applyFont="1" applyNumberFormat="1">
      <alignment horizontal="right" vertical="bottom"/>
    </xf>
    <xf borderId="0" fillId="8" fontId="12" numFmtId="0" xfId="0" applyAlignment="1" applyFill="1" applyFont="1">
      <alignment readingOrder="0"/>
    </xf>
    <xf borderId="12" fillId="8" fontId="9" numFmtId="0" xfId="0" applyAlignment="1" applyBorder="1" applyFill="1" applyFont="1">
      <alignment readingOrder="0"/>
    </xf>
    <xf borderId="2" fillId="9" fontId="10" numFmtId="168" xfId="0" applyAlignment="1" applyBorder="1" applyFill="1" applyFont="1" applyNumberFormat="1">
      <alignment readingOrder="0"/>
    </xf>
    <xf borderId="10" fillId="5" fontId="10" numFmtId="0" xfId="0" applyAlignment="1" applyBorder="1" applyFill="1" applyFont="1">
      <alignment readingOrder="0"/>
    </xf>
    <xf borderId="10" fillId="7" fontId="9" numFmtId="0" xfId="0" applyAlignment="1" applyBorder="1" applyFill="1" applyFont="1">
      <alignment horizontal="center" vertical="center"/>
    </xf>
    <xf borderId="0" fillId="0" fontId="8" numFmtId="164" xfId="0" applyAlignment="1" applyFont="1" applyNumberFormat="1">
      <alignment readingOrder="0"/>
    </xf>
    <xf borderId="0" fillId="0" fontId="0" numFmtId="165" xfId="0" applyAlignment="1" applyFont="1" applyNumberFormat="1">
      <alignment readingOrder="0"/>
    </xf>
    <xf borderId="0" fillId="5" fontId="18" numFmtId="0" xfId="0" applyAlignment="1" applyFill="1" applyFont="1">
      <alignment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vertical="bottom"/>
    </xf>
    <xf borderId="2" fillId="3" fontId="12" numFmtId="0" xfId="0" applyBorder="1" applyFill="1" applyFont="1"/>
    <xf borderId="6" fillId="3" fontId="10" numFmtId="0" xfId="0" applyBorder="1" applyFill="1" applyFont="1"/>
    <xf borderId="30" fillId="8" fontId="8" numFmtId="0" xfId="0" applyAlignment="1" applyBorder="1" applyFill="1" applyFont="1">
      <alignment horizontal="center" readingOrder="0" shrinkToFit="0" vertical="center" wrapText="1"/>
    </xf>
    <xf borderId="6" fillId="3" fontId="10" numFmtId="0" xfId="0" applyAlignment="1" applyBorder="1" applyFill="1" applyFont="1">
      <alignment readingOrder="0"/>
    </xf>
    <xf borderId="17" fillId="9" fontId="8" numFmtId="165" xfId="0" applyAlignment="1" applyBorder="1" applyFill="1" applyFont="1" applyNumberFormat="1">
      <alignment horizontal="center" readingOrder="0" vertical="center"/>
    </xf>
    <xf borderId="0" fillId="5" fontId="18" numFmtId="0" xfId="0" applyAlignment="1" applyFill="1" applyFont="1">
      <alignment vertical="bottom"/>
    </xf>
    <xf borderId="34" fillId="12" fontId="1" numFmtId="0" xfId="0" applyAlignment="1" applyBorder="1" applyFill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13" fontId="1" numFmtId="0" xfId="0" applyBorder="1" applyFill="1" applyFont="1"/>
    <xf borderId="37" fillId="10" fontId="1" numFmtId="0" xfId="0" applyBorder="1" applyFill="1" applyFont="1"/>
    <xf borderId="37" fillId="0" fontId="1" numFmtId="0" xfId="0" applyBorder="1" applyFont="1"/>
    <xf borderId="37" fillId="0" fontId="1" numFmtId="167" xfId="0" applyBorder="1" applyFont="1" applyNumberFormat="1"/>
    <xf borderId="38" fillId="11" fontId="8" numFmtId="0" xfId="0" applyAlignment="1" applyBorder="1" applyFill="1" applyFont="1">
      <alignment horizontal="center" vertical="center"/>
    </xf>
    <xf borderId="39" fillId="0" fontId="3" numFmtId="0" xfId="0" applyBorder="1" applyFont="1"/>
    <xf borderId="0" fillId="0" fontId="8" numFmtId="0" xfId="0" applyFont="1"/>
    <xf borderId="40" fillId="10" fontId="1" numFmtId="0" xfId="0" applyBorder="1" applyFill="1" applyFont="1"/>
    <xf borderId="11" fillId="7" fontId="19" numFmtId="165" xfId="0" applyBorder="1" applyFill="1" applyFont="1" applyNumberFormat="1"/>
    <xf borderId="41" fillId="13" fontId="8" numFmtId="167" xfId="0" applyBorder="1" applyFill="1" applyFont="1" applyNumberFormat="1"/>
    <xf borderId="35" fillId="0" fontId="8" numFmtId="167" xfId="0" applyBorder="1" applyFont="1" applyNumberFormat="1"/>
    <xf borderId="36" fillId="0" fontId="8" numFmtId="167" xfId="0" applyBorder="1" applyFont="1" applyNumberFormat="1"/>
    <xf borderId="0" fillId="4" fontId="18" numFmtId="0" xfId="0" applyAlignment="1" applyFill="1" applyFont="1">
      <alignment vertical="bottom"/>
    </xf>
    <xf borderId="42" fillId="8" fontId="8" numFmtId="0" xfId="0" applyAlignment="1" applyBorder="1" applyFill="1" applyFont="1">
      <alignment horizontal="center" vertical="center"/>
    </xf>
    <xf borderId="43" fillId="9" fontId="8" numFmtId="164" xfId="0" applyAlignment="1" applyBorder="1" applyFill="1" applyFont="1" applyNumberFormat="1">
      <alignment horizontal="center" readingOrder="0" vertical="center"/>
    </xf>
    <xf borderId="0" fillId="0" fontId="8" numFmtId="0" xfId="0" applyAlignment="1" applyFont="1">
      <alignment readingOrder="0"/>
    </xf>
    <xf borderId="41" fillId="13" fontId="8" numFmtId="167" xfId="0" applyAlignment="1" applyBorder="1" applyFill="1" applyFont="1" applyNumberFormat="1">
      <alignment readingOrder="0"/>
    </xf>
    <xf borderId="44" fillId="9" fontId="12" numFmtId="0" xfId="0" applyAlignment="1" applyBorder="1" applyFill="1" applyFont="1">
      <alignment horizontal="center" readingOrder="0" vertical="center"/>
    </xf>
    <xf borderId="13" fillId="8" fontId="12" numFmtId="0" xfId="0" applyAlignment="1" applyBorder="1" applyFill="1" applyFont="1">
      <alignment horizontal="center" readingOrder="0" vertical="center"/>
    </xf>
    <xf borderId="15" fillId="3" fontId="17" numFmtId="165" xfId="0" applyAlignment="1" applyBorder="1" applyFill="1" applyFont="1" applyNumberFormat="1">
      <alignment horizontal="center" vertical="center"/>
    </xf>
    <xf borderId="14" fillId="8" fontId="12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0" fillId="9" fontId="12" numFmtId="0" xfId="0" applyAlignment="1" applyBorder="1" applyFill="1" applyFont="1">
      <alignment horizontal="center" readingOrder="0" vertical="center"/>
    </xf>
    <xf borderId="11" fillId="9" fontId="12" numFmtId="0" xfId="0" applyAlignment="1" applyBorder="1" applyFill="1" applyFont="1">
      <alignment horizontal="center" readingOrder="0" vertical="center"/>
    </xf>
    <xf borderId="13" fillId="6" fontId="5" numFmtId="0" xfId="0" applyAlignment="1" applyBorder="1" applyFill="1" applyFont="1">
      <alignment horizontal="center" readingOrder="0" vertical="center"/>
    </xf>
    <xf borderId="10" fillId="3" fontId="16" numFmtId="0" xfId="0" applyAlignment="1" applyBorder="1" applyFill="1" applyFont="1">
      <alignment horizontal="center" readingOrder="0" vertical="center"/>
    </xf>
    <xf borderId="8" fillId="3" fontId="7" numFmtId="0" xfId="0" applyBorder="1" applyFill="1" applyFont="1"/>
    <xf borderId="0" fillId="14" fontId="21" numFmtId="164" xfId="0" applyFill="1" applyFont="1" applyNumberFormat="1"/>
    <xf borderId="9" fillId="3" fontId="7" numFmtId="0" xfId="0" applyBorder="1" applyFill="1" applyFont="1"/>
    <xf borderId="35" fillId="0" fontId="8" numFmtId="164" xfId="0" applyBorder="1" applyFont="1" applyNumberFormat="1"/>
    <xf borderId="26" fillId="3" fontId="7" numFmtId="0" xfId="0" applyBorder="1" applyFill="1" applyFont="1"/>
    <xf borderId="0" fillId="9" fontId="8" numFmtId="165" xfId="0" applyAlignment="1" applyFill="1" applyFont="1" applyNumberFormat="1">
      <alignment horizontal="center"/>
    </xf>
    <xf borderId="45" fillId="0" fontId="3" numFmtId="0" xfId="0" applyBorder="1" applyFont="1"/>
    <xf borderId="46" fillId="0" fontId="3" numFmtId="0" xfId="0" applyBorder="1" applyFont="1"/>
    <xf borderId="0" fillId="14" fontId="22" numFmtId="167" xfId="0" applyAlignment="1" applyFill="1" applyFont="1" applyNumberFormat="1">
      <alignment readingOrder="0" shrinkToFit="0" wrapText="0"/>
    </xf>
    <xf borderId="7" fillId="13" fontId="8" numFmtId="167" xfId="0" applyBorder="1" applyFill="1" applyFont="1" applyNumberFormat="1"/>
    <xf borderId="41" fillId="15" fontId="8" numFmtId="167" xfId="0" applyBorder="1" applyFill="1" applyFont="1" applyNumberFormat="1"/>
    <xf borderId="10" fillId="3" fontId="16" numFmtId="165" xfId="0" applyAlignment="1" applyBorder="1" applyFill="1" applyFont="1" applyNumberFormat="1">
      <alignment horizontal="center" readingOrder="0" vertical="center"/>
    </xf>
    <xf borderId="7" fillId="4" fontId="1" numFmtId="164" xfId="0" applyAlignment="1" applyBorder="1" applyFill="1" applyFont="1" applyNumberFormat="1">
      <alignment readingOrder="0"/>
    </xf>
    <xf quotePrefix="1" borderId="0" fillId="0" fontId="7" numFmtId="0" xfId="0" applyAlignment="1" applyFont="1">
      <alignment readingOrder="0"/>
    </xf>
    <xf borderId="0" fillId="6" fontId="1" numFmtId="0" xfId="0" applyAlignment="1" applyFill="1" applyFont="1">
      <alignment horizontal="center"/>
    </xf>
    <xf borderId="22" fillId="0" fontId="8" numFmtId="0" xfId="0" applyAlignment="1" applyBorder="1" applyFont="1">
      <alignment vertical="bottom"/>
    </xf>
    <xf borderId="28" fillId="11" fontId="8" numFmtId="0" xfId="0" applyAlignment="1" applyBorder="1" applyFill="1" applyFont="1">
      <alignment horizontal="center"/>
    </xf>
    <xf borderId="0" fillId="4" fontId="1" numFmtId="164" xfId="0" applyAlignment="1" applyFill="1" applyFont="1" applyNumberFormat="1">
      <alignment vertical="bottom"/>
    </xf>
    <xf borderId="0" fillId="5" fontId="1" numFmtId="164" xfId="0" applyAlignment="1" applyFill="1" applyFont="1" applyNumberFormat="1">
      <alignment vertical="bottom"/>
    </xf>
    <xf borderId="22" fillId="8" fontId="8" numFmtId="0" xfId="0" applyAlignment="1" applyBorder="1" applyFill="1" applyFont="1">
      <alignment horizontal="center"/>
    </xf>
    <xf borderId="0" fillId="9" fontId="8" numFmtId="10" xfId="0" applyAlignment="1" applyFill="1" applyFont="1" applyNumberFormat="1">
      <alignment horizontal="center"/>
    </xf>
    <xf borderId="0" fillId="14" fontId="23" numFmtId="169" xfId="0" applyFill="1" applyFont="1" applyNumberFormat="1"/>
    <xf borderId="0" fillId="7" fontId="1" numFmtId="0" xfId="0" applyAlignment="1" applyFill="1" applyFont="1">
      <alignment vertical="bottom"/>
    </xf>
    <xf borderId="0" fillId="14" fontId="22" numFmtId="4" xfId="0" applyAlignment="1" applyFill="1" applyFont="1" applyNumberFormat="1">
      <alignment readingOrder="0" shrinkToFit="0" vertical="top" wrapText="0"/>
    </xf>
    <xf borderId="0" fillId="14" fontId="24" numFmtId="0" xfId="0" applyAlignment="1" applyFill="1" applyFont="1">
      <alignment shrinkToFit="0" wrapText="0"/>
    </xf>
    <xf borderId="0" fillId="0" fontId="8" numFmtId="164" xfId="0" applyAlignment="1" applyFont="1" applyNumberFormat="1">
      <alignment horizontal="right" vertical="bottom"/>
    </xf>
    <xf borderId="22" fillId="0" fontId="8" numFmtId="164" xfId="0" applyAlignment="1" applyBorder="1" applyFont="1" applyNumberFormat="1">
      <alignment vertical="bottom"/>
    </xf>
    <xf borderId="8" fillId="4" fontId="9" numFmtId="0" xfId="0" applyAlignment="1" applyBorder="1" applyFill="1" applyFont="1">
      <alignment readingOrder="0"/>
    </xf>
    <xf borderId="0" fillId="14" fontId="21" numFmtId="0" xfId="0" applyAlignment="1" applyFill="1" applyFont="1">
      <alignment horizontal="left"/>
    </xf>
    <xf borderId="26" fillId="7" fontId="19" numFmtId="165" xfId="0" applyBorder="1" applyFill="1" applyFont="1" applyNumberFormat="1"/>
    <xf borderId="8" fillId="4" fontId="11" numFmtId="0" xfId="0" applyAlignment="1" applyBorder="1" applyFill="1" applyFont="1">
      <alignment readingOrder="0"/>
    </xf>
    <xf borderId="9" fillId="7" fontId="19" numFmtId="165" xfId="0" applyBorder="1" applyFill="1" applyFont="1" applyNumberFormat="1"/>
    <xf borderId="24" fillId="11" fontId="8" numFmtId="0" xfId="0" applyAlignment="1" applyBorder="1" applyFill="1" applyFont="1">
      <alignment horizontal="center"/>
    </xf>
    <xf borderId="9" fillId="4" fontId="20" numFmtId="0" xfId="0" applyAlignment="1" applyBorder="1" applyFill="1" applyFont="1">
      <alignment vertical="bottom"/>
    </xf>
    <xf borderId="2" fillId="4" fontId="12" numFmtId="0" xfId="0" applyAlignment="1" applyBorder="1" applyFill="1" applyFont="1">
      <alignment readingOrder="0"/>
    </xf>
    <xf borderId="6" fillId="7" fontId="19" numFmtId="165" xfId="0" applyBorder="1" applyFill="1" applyFont="1" applyNumberFormat="1"/>
    <xf borderId="6" fillId="4" fontId="25" numFmtId="0" xfId="0" applyAlignment="1" applyBorder="1" applyFill="1" applyFont="1">
      <alignment readingOrder="0" vertical="bottom"/>
    </xf>
    <xf borderId="4" fillId="7" fontId="19" numFmtId="165" xfId="0" applyBorder="1" applyFill="1" applyFont="1" applyNumberFormat="1"/>
    <xf borderId="0" fillId="0" fontId="8" numFmtId="0" xfId="0" applyAlignment="1" applyFont="1">
      <alignment vertical="bottom"/>
    </xf>
    <xf borderId="8" fillId="4" fontId="12" numFmtId="0" xfId="0" applyAlignment="1" applyBorder="1" applyFill="1" applyFont="1">
      <alignment readingOrder="0"/>
    </xf>
    <xf borderId="8" fillId="7" fontId="9" numFmtId="165" xfId="0" applyAlignment="1" applyBorder="1" applyFill="1" applyFont="1" applyNumberFormat="1">
      <alignment horizontal="center" vertical="center"/>
    </xf>
    <xf borderId="26" fillId="0" fontId="3" numFmtId="0" xfId="0" applyBorder="1" applyFont="1"/>
    <xf borderId="9" fillId="4" fontId="25" numFmtId="0" xfId="0" applyAlignment="1" applyBorder="1" applyFill="1" applyFont="1">
      <alignment readingOrder="0" vertical="bottom"/>
    </xf>
    <xf borderId="13" fillId="0" fontId="26" numFmtId="0" xfId="0" applyAlignment="1" applyBorder="1" applyFont="1">
      <alignment horizontal="center" readingOrder="0" shrinkToFit="0" vertical="center" wrapText="1"/>
    </xf>
    <xf borderId="34" fillId="16" fontId="1" numFmtId="0" xfId="0" applyAlignment="1" applyBorder="1" applyFill="1" applyFont="1">
      <alignment horizontal="center" vertical="center"/>
    </xf>
    <xf borderId="10" fillId="0" fontId="3" numFmtId="0" xfId="0" applyBorder="1" applyFont="1"/>
    <xf borderId="2" fillId="3" fontId="16" numFmtId="0" xfId="0" applyAlignment="1" applyBorder="1" applyFill="1" applyFont="1">
      <alignment horizontal="center" readingOrder="0" vertical="center"/>
    </xf>
    <xf borderId="37" fillId="17" fontId="1" numFmtId="0" xfId="0" applyBorder="1" applyFill="1" applyFont="1"/>
    <xf borderId="34" fillId="18" fontId="1" numFmtId="0" xfId="0" applyAlignment="1" applyBorder="1" applyFill="1" applyFont="1">
      <alignment horizontal="center" vertical="center"/>
    </xf>
    <xf borderId="11" fillId="0" fontId="0" numFmtId="165" xfId="0" applyAlignment="1" applyBorder="1" applyFont="1" applyNumberFormat="1">
      <alignment readingOrder="0"/>
    </xf>
    <xf borderId="12" fillId="9" fontId="10" numFmtId="165" xfId="0" applyAlignment="1" applyBorder="1" applyFill="1" applyFont="1" applyNumberFormat="1">
      <alignment readingOrder="0"/>
    </xf>
    <xf borderId="40" fillId="15" fontId="1" numFmtId="0" xfId="0" applyBorder="1" applyFill="1" applyFont="1"/>
    <xf borderId="0" fillId="0" fontId="7" numFmtId="0" xfId="0" applyAlignment="1" applyFont="1">
      <alignment readingOrder="0"/>
    </xf>
    <xf borderId="35" fillId="0" fontId="8" numFmtId="164" xfId="0" applyAlignment="1" applyBorder="1" applyFont="1" applyNumberFormat="1">
      <alignment horizontal="center" vertical="center"/>
    </xf>
    <xf borderId="35" fillId="0" fontId="8" numFmtId="167" xfId="0" applyAlignment="1" applyBorder="1" applyFont="1" applyNumberFormat="1">
      <alignment horizontal="center" vertical="center"/>
    </xf>
    <xf borderId="8" fillId="5" fontId="10" numFmtId="0" xfId="0" applyAlignment="1" applyBorder="1" applyFill="1" applyFont="1">
      <alignment readingOrder="0"/>
    </xf>
    <xf borderId="8" fillId="0" fontId="3" numFmtId="0" xfId="0" applyBorder="1" applyFont="1"/>
    <xf borderId="26" fillId="0" fontId="0" numFmtId="165" xfId="0" applyAlignment="1" applyBorder="1" applyFont="1" applyNumberFormat="1">
      <alignment readingOrder="0"/>
    </xf>
    <xf borderId="22" fillId="8" fontId="8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horizontal="left"/>
    </xf>
    <xf borderId="0" fillId="9" fontId="8" numFmtId="165" xfId="0" applyAlignment="1" applyFill="1" applyFont="1" applyNumberFormat="1">
      <alignment horizontal="center" readingOrder="0"/>
    </xf>
    <xf borderId="0" fillId="0" fontId="12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14" fontId="27" numFmtId="164" xfId="0" applyAlignment="1" applyFill="1" applyFont="1" applyNumberFormat="1">
      <alignment horizontal="right" vertical="bottom"/>
    </xf>
    <xf borderId="0" fillId="4" fontId="8" numFmtId="164" xfId="0" applyAlignment="1" applyFill="1" applyFont="1" applyNumberFormat="1">
      <alignment horizontal="right" vertical="bottom"/>
    </xf>
    <xf quotePrefix="1" borderId="0" fillId="0" fontId="8" numFmtId="0" xfId="0" applyAlignment="1" applyFont="1">
      <alignment shrinkToFit="0" vertical="bottom" wrapText="0"/>
    </xf>
    <xf borderId="0" fillId="0" fontId="28" numFmtId="0" xfId="0" applyFont="1"/>
    <xf borderId="0" fillId="0" fontId="25" numFmtId="0" xfId="0" applyAlignment="1" applyFont="1">
      <alignment horizontal="center" readingOrder="0" vertical="center"/>
    </xf>
    <xf borderId="0" fillId="0" fontId="7" numFmtId="3" xfId="0" applyAlignment="1" applyFont="1" applyNumberFormat="1">
      <alignment readingOrder="0"/>
    </xf>
    <xf borderId="0" fillId="11" fontId="10" numFmtId="0" xfId="0" applyAlignment="1" applyFill="1" applyFont="1">
      <alignment horizontal="center" readingOrder="0" vertical="center"/>
    </xf>
    <xf borderId="0" fillId="6" fontId="10" numFmtId="0" xfId="0" applyAlignment="1" applyFill="1" applyFont="1">
      <alignment horizontal="center" readingOrder="0" vertical="center"/>
    </xf>
    <xf borderId="0" fillId="14" fontId="29" numFmtId="168" xfId="0" applyAlignment="1" applyFill="1" applyFont="1" applyNumberFormat="1">
      <alignment readingOrder="0"/>
    </xf>
    <xf borderId="0" fillId="8" fontId="26" numFmtId="165" xfId="0" applyAlignment="1" applyFill="1" applyFont="1" applyNumberFormat="1">
      <alignment horizontal="center" readingOrder="0" vertical="center"/>
    </xf>
    <xf borderId="0" fillId="6" fontId="26" numFmtId="0" xfId="0" applyAlignment="1" applyFill="1" applyFont="1">
      <alignment horizontal="center" readingOrder="0" vertical="center"/>
    </xf>
    <xf borderId="0" fillId="14" fontId="21" numFmtId="0" xfId="0" applyFill="1" applyFont="1"/>
    <xf borderId="0" fillId="0" fontId="7" numFmtId="0" xfId="0" applyFont="1"/>
    <xf borderId="0" fillId="0" fontId="7" numFmtId="165" xfId="0" applyFont="1" applyNumberFormat="1"/>
    <xf borderId="0" fillId="0" fontId="7" numFmtId="10" xfId="0" applyFont="1" applyNumberFormat="1"/>
    <xf borderId="0" fillId="0" fontId="7" numFmtId="168" xfId="0" applyFont="1" applyNumberFormat="1"/>
    <xf borderId="0" fillId="5" fontId="26" numFmtId="165" xfId="0" applyAlignment="1" applyFill="1" applyFont="1" applyNumberFormat="1">
      <alignment horizontal="center" readingOrder="0" vertical="center"/>
    </xf>
    <xf borderId="0" fillId="14" fontId="30" numFmtId="0" xfId="0" applyAlignment="1" applyFill="1" applyFont="1">
      <alignment readingOrder="0"/>
    </xf>
    <xf borderId="0" fillId="14" fontId="21" numFmtId="10" xfId="0" applyFill="1" applyFont="1" applyNumberFormat="1"/>
    <xf borderId="0" fillId="0" fontId="7" numFmtId="49" xfId="0" applyAlignment="1" applyFont="1" applyNumberFormat="1">
      <alignment readingOrder="0"/>
    </xf>
    <xf borderId="0" fillId="0" fontId="31" numFmtId="0" xfId="0" applyFont="1"/>
    <xf borderId="0" fillId="0" fontId="7" numFmtId="170" xfId="0" applyFont="1" applyNumberFormat="1"/>
    <xf borderId="0" fillId="5" fontId="26" numFmtId="10" xfId="0" applyAlignment="1" applyFill="1" applyFont="1" applyNumberFormat="1">
      <alignment horizontal="center" readingOrder="0" vertical="center"/>
    </xf>
    <xf borderId="0" fillId="8" fontId="26" numFmtId="0" xfId="0" applyAlignment="1" applyFill="1" applyFont="1">
      <alignment horizontal="center" readingOrder="0" vertical="center"/>
    </xf>
    <xf borderId="0" fillId="6" fontId="32" numFmtId="165" xfId="0" applyAlignment="1" applyFill="1" applyFont="1" applyNumberFormat="1">
      <alignment horizontal="center" readingOrder="0" vertical="center"/>
    </xf>
    <xf borderId="0" fillId="8" fontId="26" numFmtId="49" xfId="0" applyAlignment="1" applyFill="1" applyFont="1" applyNumberFormat="1">
      <alignment horizontal="center" readingOrder="0" vertical="center"/>
    </xf>
    <xf borderId="0" fillId="5" fontId="33" numFmtId="165" xfId="0" applyAlignment="1" applyFill="1" applyFont="1" applyNumberFormat="1">
      <alignment horizontal="center" vertical="center"/>
    </xf>
    <xf borderId="47" fillId="0" fontId="26" numFmtId="0" xfId="0" applyAlignment="1" applyBorder="1" applyFont="1">
      <alignment horizontal="center" readingOrder="0" shrinkToFit="0" vertical="center" wrapText="1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0" fillId="0" fontId="7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2</xdr:row>
      <xdr:rowOff>38100</xdr:rowOff>
    </xdr:from>
    <xdr:ext cx="4781550" cy="1590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9</xdr:row>
      <xdr:rowOff>247650</xdr:rowOff>
    </xdr:from>
    <xdr:ext cx="4781550" cy="1428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17</xdr:row>
      <xdr:rowOff>257175</xdr:rowOff>
    </xdr:from>
    <xdr:ext cx="4781550" cy="14954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933450</xdr:colOff>
      <xdr:row>0</xdr:row>
      <xdr:rowOff>276225</xdr:rowOff>
    </xdr:from>
    <xdr:ext cx="5762625" cy="28765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fs.com.au/content/dam/prospects/fs/5/7/fs5735.pdf?8" TargetMode="External"/><Relationship Id="rId22" Type="http://schemas.openxmlformats.org/officeDocument/2006/relationships/hyperlink" Target="https://www.vanguard.com.au/super/performance-and-fees/calculate-super-fees" TargetMode="External"/><Relationship Id="rId21" Type="http://schemas.openxmlformats.org/officeDocument/2006/relationships/hyperlink" Target="https://www.cfs.com.au/content/dam/prospects/fs/5/7/fs5735.pdf?8" TargetMode="External"/><Relationship Id="rId24" Type="http://schemas.openxmlformats.org/officeDocument/2006/relationships/hyperlink" Target="https://cdn.sargon.cloud/SS/dfb75128-b5e1-48c0-ab8c-6301e25e0ca5/Reference%20Guide.pdf" TargetMode="External"/><Relationship Id="rId23" Type="http://schemas.openxmlformats.org/officeDocument/2006/relationships/hyperlink" Target="https://virginmoney.com.au/content/dam/virginmoney/vma-downloads/superannuation/Virgin-Money-Super-Product-Guide.pdf" TargetMode="External"/><Relationship Id="rId1" Type="http://schemas.openxmlformats.org/officeDocument/2006/relationships/hyperlink" Target="https://aware.com.au/content/dam/aware/au/en/documents/member/disclosure/pds/Investment-and-Fees-Handbook.pdf" TargetMode="External"/><Relationship Id="rId2" Type="http://schemas.openxmlformats.org/officeDocument/2006/relationships/hyperlink" Target="https://aware.com.au/member/what-we-offer/fees-and-costs" TargetMode="External"/><Relationship Id="rId3" Type="http://schemas.openxmlformats.org/officeDocument/2006/relationships/hyperlink" Target="https://cdn.australianretirementtrust.com.au/library/media/pdfs/pds/super-savings-guide.pdf?rev=c6faa0a3d1c94c9082fc64a56ba05f53" TargetMode="External"/><Relationship Id="rId4" Type="http://schemas.openxmlformats.org/officeDocument/2006/relationships/hyperlink" Target="https://qsuper.qld.gov.au/-/media/pdfs/qsuper-public/publications/pds1.pdf" TargetMode="External"/><Relationship Id="rId9" Type="http://schemas.openxmlformats.org/officeDocument/2006/relationships/hyperlink" Target="https://www.unisuper.com.au/-/media/files/pds/ibr/fees-and-costs.pdf?rev=7a80285e210e442ca2626b4342998f44&amp;hash=F529A428573B2D260A5927097D44EB20" TargetMode="External"/><Relationship Id="rId26" Type="http://schemas.openxmlformats.org/officeDocument/2006/relationships/hyperlink" Target="https://www.amp.com.au/content/dam/amp/digitalhub/common/Documents/Super/ProductInfo/sg_invguide.pdf" TargetMode="External"/><Relationship Id="rId25" Type="http://schemas.openxmlformats.org/officeDocument/2006/relationships/hyperlink" Target="https://cdn.sargon.cloud/SS/dfb75128-b5e1-48c0-ab8c-6301e25e0ca5/Reference%20Guide.pdf" TargetMode="External"/><Relationship Id="rId28" Type="http://schemas.openxmlformats.org/officeDocument/2006/relationships/hyperlink" Target="https://www.anz.com.au/content/dam/anzcomau/documents/pdf/smart-choice-super-pension-aig.pdf" TargetMode="External"/><Relationship Id="rId27" Type="http://schemas.openxmlformats.org/officeDocument/2006/relationships/hyperlink" Target="https://www.amp.com.au/content/dam/amp/digitalhub/common/Documents/Super/ProductInfo/sg_invguide.pdf" TargetMode="External"/><Relationship Id="rId5" Type="http://schemas.openxmlformats.org/officeDocument/2006/relationships/hyperlink" Target="https://hostplus.com.au/super/what-you-need-to-know-about-super/fees" TargetMode="External"/><Relationship Id="rId6" Type="http://schemas.openxmlformats.org/officeDocument/2006/relationships/hyperlink" Target="https://rest.com.au/super/understanding-fees" TargetMode="External"/><Relationship Id="rId29" Type="http://schemas.openxmlformats.org/officeDocument/2006/relationships/hyperlink" Target="https://www.mercersuper.com.au/content/dam/mercer-super/australia/documents/internal/MercerSmartSuper_HowYourSuperWorks.pdf" TargetMode="External"/><Relationship Id="rId7" Type="http://schemas.openxmlformats.org/officeDocument/2006/relationships/hyperlink" Target="https://www.brightersuper.com.au/-/media/public/files/pds-and-guides/investment-choice-guide.pdf" TargetMode="External"/><Relationship Id="rId8" Type="http://schemas.openxmlformats.org/officeDocument/2006/relationships/hyperlink" Target="https://www.australiansuper.com/-/media/Australian%20Super/Files/PDFs/IBR/IBR-Industry-Fees-1" TargetMode="External"/><Relationship Id="rId31" Type="http://schemas.openxmlformats.org/officeDocument/2006/relationships/hyperlink" Target="https://www.mlc.com.au/content/dam/mlc/documents/disclosure/mkspf/mkspf-fund-offer-combo-kit.pdf" TargetMode="External"/><Relationship Id="rId30" Type="http://schemas.openxmlformats.org/officeDocument/2006/relationships/hyperlink" Target="https://www.mercersuper.com.au/content/dam/mercer-super/australia/documents/internal/MercerSmartSuper_HowYourSuperWorks.pdf" TargetMode="External"/><Relationship Id="rId11" Type="http://schemas.openxmlformats.org/officeDocument/2006/relationships/hyperlink" Target="https://www.caresuper.com.au/sites/default/files/2021-12/fs-ibr-fees-855.8-1221-iss21-web-20211221.pdf" TargetMode="External"/><Relationship Id="rId33" Type="http://schemas.openxmlformats.org/officeDocument/2006/relationships/hyperlink" Target="https://www.telstrasuper.com.au/products-and-services/fees-and-costs" TargetMode="External"/><Relationship Id="rId10" Type="http://schemas.openxmlformats.org/officeDocument/2006/relationships/hyperlink" Target="https://www.hesta.com.au/content/dam/hesta/Documents/Fees-and-costs.pdf" TargetMode="External"/><Relationship Id="rId32" Type="http://schemas.openxmlformats.org/officeDocument/2006/relationships/hyperlink" Target="https://www.mlc.com.au/content/dam/mlc/documents/disclosure/mkspf/mkspf-fund-offer-combo-kit.pdf" TargetMode="External"/><Relationship Id="rId13" Type="http://schemas.openxmlformats.org/officeDocument/2006/relationships/hyperlink" Target="https://spiritsuper.com.au/super/fees-and-costs" TargetMode="External"/><Relationship Id="rId35" Type="http://schemas.openxmlformats.org/officeDocument/2006/relationships/drawing" Target="../drawings/drawing8.xml"/><Relationship Id="rId12" Type="http://schemas.openxmlformats.org/officeDocument/2006/relationships/hyperlink" Target="https://www.cbussuper.com.au/content/dam/cbus/files/forms-publications/general-information/Fees-Factsheet.pdf" TargetMode="External"/><Relationship Id="rId34" Type="http://schemas.openxmlformats.org/officeDocument/2006/relationships/hyperlink" Target="https://www.csc.gov.au/Members/Superannuation/Fees?scheme=pssap" TargetMode="External"/><Relationship Id="rId15" Type="http://schemas.openxmlformats.org/officeDocument/2006/relationships/hyperlink" Target="https://www.legalsuper.com.au/super-retirement/fees-costs/super-pension" TargetMode="External"/><Relationship Id="rId14" Type="http://schemas.openxmlformats.org/officeDocument/2006/relationships/hyperlink" Target="https://csf.com.au/content/dam/catholic_super/documents/guides/fees-and-other-costs_catholic-super.pdf" TargetMode="External"/><Relationship Id="rId17" Type="http://schemas.openxmlformats.org/officeDocument/2006/relationships/hyperlink" Target="https://www.australianethical.com.au/globalassets/pdf-files/forms--pds/superpension/important-information/ae_super-aib.pdf" TargetMode="External"/><Relationship Id="rId16" Type="http://schemas.openxmlformats.org/officeDocument/2006/relationships/hyperlink" Target="https://www.primesuper.com.au/assets/FormPdfFile/Member-Guide-Education-Division.pdf" TargetMode="External"/><Relationship Id="rId19" Type="http://schemas.openxmlformats.org/officeDocument/2006/relationships/hyperlink" Target="https://www.cfs.com.au/content/dam/prospects/fs/5/7/fs5735.pdf?8" TargetMode="External"/><Relationship Id="rId18" Type="http://schemas.openxmlformats.org/officeDocument/2006/relationships/hyperlink" Target="https://content.myfuturesuper.com.au/forms-docs/FS_AIB_01072023.pdf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</cols>
  <sheetData>
    <row r="2" ht="30.0" customHeight="1">
      <c r="B2" s="7" t="s">
        <v>2</v>
      </c>
      <c r="C2" s="5"/>
      <c r="D2" s="14"/>
      <c r="E2" s="19" t="s">
        <v>11</v>
      </c>
    </row>
    <row r="3">
      <c r="B3" s="21" t="s">
        <v>16</v>
      </c>
      <c r="C3" s="23">
        <v>0.0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4" max="4" width="9.14"/>
  </cols>
  <sheetData>
    <row r="1">
      <c r="B1" s="3" t="s">
        <v>1</v>
      </c>
      <c r="C1" s="5"/>
      <c r="E1" s="3" t="s">
        <v>4</v>
      </c>
      <c r="F1" s="8"/>
      <c r="G1" s="8"/>
      <c r="H1" s="8"/>
      <c r="I1" s="5"/>
      <c r="L1" s="3" t="s">
        <v>6</v>
      </c>
      <c r="M1" s="8"/>
      <c r="N1" s="8"/>
      <c r="O1" s="8"/>
      <c r="P1" s="8"/>
      <c r="Q1" s="5"/>
    </row>
    <row r="2">
      <c r="B2" s="15" t="s">
        <v>9</v>
      </c>
      <c r="C2" s="17"/>
      <c r="E2" s="15" t="s">
        <v>13</v>
      </c>
      <c r="I2" s="17"/>
      <c r="L2" s="15" t="s">
        <v>13</v>
      </c>
      <c r="M2" s="17"/>
      <c r="N2" s="15" t="s">
        <v>15</v>
      </c>
      <c r="O2" s="17"/>
      <c r="P2" s="15" t="s">
        <v>17</v>
      </c>
      <c r="Q2" s="17"/>
    </row>
    <row r="3">
      <c r="B3" s="28">
        <f>(Budgeting!L33*C4)</f>
      </c>
      <c r="C3" s="17"/>
      <c r="E3" s="30"/>
      <c r="F3" s="32"/>
      <c r="G3" s="32"/>
      <c r="H3" s="32"/>
      <c r="I3" s="34"/>
      <c r="J3" s="36" t="s">
        <v>24</v>
      </c>
      <c r="L3" s="15" t="s">
        <v>25</v>
      </c>
      <c r="M3" s="17"/>
      <c r="N3" s="15" t="s">
        <v>25</v>
      </c>
      <c r="O3" s="17"/>
      <c r="P3" s="15" t="s">
        <v>25</v>
      </c>
      <c r="Q3" s="17"/>
    </row>
    <row r="4" ht="20.25" customHeight="1">
      <c r="A4" s="38"/>
      <c r="B4" s="39" t="s">
        <v>27</v>
      </c>
      <c r="C4" s="41">
        <v>6</v>
      </c>
      <c r="D4" s="38"/>
      <c r="E4" s="44"/>
      <c r="F4" s="46"/>
      <c r="G4" s="46"/>
      <c r="H4" s="46"/>
      <c r="I4" s="47"/>
      <c r="J4" s="48">
        <v>1000</v>
      </c>
      <c r="K4" s="38"/>
      <c r="L4" s="66">
        <f>('Housing Costs'!$D$15*12*PMT('Housing Costs'!$D$17/12, 'Housing Costs'!$D$15*12, -'Housing Costs'!$B$9) - 'Housing Costs'!$B$9)
 - 
((PMT('Housing Costs'!$D$17/12, 'Housing Costs'!$D$15*12, -('Housing Costs'!$B$9 - (M7*12*'Housing Costs'!$D$15/2))) + L7)
 * 
NPER('Housing Costs'!$D$17/12, -(PMT('Housing Costs'!$D$17/12, 'Housing Costs'!$D$15*12, -('Housing Costs'!$B$9 - (M7*12*'Housing Costs'!$D$15/2))) + L7), 'Housing Costs'!$B$9 - (M7*12*'Housing Costs'!$D$15/2))
 - 
'Housing Costs'!$B$9)
</f>
      </c>
      <c r="M4" s="17"/>
      <c r="N4" s="66">
        <f>('Housing Costs'!$D$15*12*PMT('Housing Costs'!$D$17/12, 'Housing Costs'!$D$15*12, -'Housing Costs'!$B$9) - 'Housing Costs'!$B$9)
 - 
((PMT('Housing Costs'!$D$17/12, 'Housing Costs'!$D$15*12, -('Housing Costs'!$B$9 - (O7*12*'Housing Costs'!$D$15/2))) + N7)
 * 
NPER('Housing Costs'!$D$17/12, -(PMT('Housing Costs'!$D$17/12, 'Housing Costs'!$D$15*12, -('Housing Costs'!$B$9 - (O7*12*'Housing Costs'!$D$15/2))) + N7), 'Housing Costs'!$B$9 - (O7*12*'Housing Costs'!$D$15/2))
 - 
'Housing Costs'!$B$9)
</f>
      </c>
      <c r="O4" s="17"/>
      <c r="P4" s="66">
        <f>('Housing Costs'!$D$15*12*PMT('Housing Costs'!$D$17/12, 'Housing Costs'!$D$15*12, -'Housing Costs'!$B$9) - 'Housing Costs'!$B$9)
 - 
((PMT('Housing Costs'!$D$17/12, 'Housing Costs'!$D$15*12, -('Housing Costs'!$B$9 - (Q7*12*'Housing Costs'!$D$15/2))) + P7)
 * 
NPER('Housing Costs'!$D$17/12, -(PMT('Housing Costs'!$D$17/12, 'Housing Costs'!$D$15*12, -('Housing Costs'!$B$9 - (Q7*12*'Housing Costs'!$D$15/2))) + P7), 'Housing Costs'!$B$9 - (Q7*12*'Housing Costs'!$D$15/2))
 - 
'Housing Costs'!$B$9)
</f>
      </c>
      <c r="Q4" s="17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B5" s="15" t="s">
        <v>68</v>
      </c>
      <c r="C5" s="17"/>
      <c r="E5" s="44"/>
      <c r="F5" s="46"/>
      <c r="G5" s="46"/>
      <c r="H5" s="46"/>
      <c r="I5" s="47"/>
      <c r="J5" s="36" t="s">
        <v>55</v>
      </c>
      <c r="L5" s="116">
        <f>IF(
  ('Housing Costs'!$D$15
    - NPER(
        'Housing Costs'!$D$17/12,
        -(PMT('Housing Costs'!$D$17/12, 'Housing Costs'!$D$15*12, -('Housing Costs'!$B$9 - (M7*12*'Housing Costs'!$D$15/2))) + L7),
        'Housing Costs'!$B$9 - (M7*12*'Housing Costs'!$D$15/2)
      ) / 12
  ) &gt; 0,
  INT('Housing Costs'!$D$15
      - NPER(
          'Housing Costs'!$D$17/12,
          -(PMT('Housing Costs'!$D$17/12, 'Housing Costs'!$D$15*12, -('Housing Costs'!$B$9 - (M7*12*'Housing Costs'!$D$15/2))) + L7),
          'Housing Costs'!$B$9 - (M7*12*'Housing Costs'!$D$15/2)
        ) / 12
  )
  &amp; " Years, " &amp;
  INT(MOD(
    'Housing Costs'!$D$15
      - NPER(
          'Housing Costs'!$D$17/12,
          -(PMT('Housing Costs'!$D$17/12, 'Housing Costs'!$D$15*12, -('Housing Costs'!$B$9 - (M7*12*'Housing Costs'!$D$15/2))) + L7),
          'Housing Costs'!$B$9 - (M7*12*'Housing Costs'!$D$15/2)
        ) / 12,
    1
  ) * 12) &amp; " Months",
  "Not Saving Time"
)
</f>
      </c>
      <c r="M5" s="17"/>
      <c r="N5" s="116">
        <f>IF(
  ('Housing Costs'!$D$15
    - NPER(
        'Housing Costs'!$D$17/12,
        -(PMT('Housing Costs'!$D$17/12, 'Housing Costs'!$D$15*12, -('Housing Costs'!$B$9 - (O7*12*'Housing Costs'!$D$15/2))) + N7),
        'Housing Costs'!$B$9 - (O7*12*'Housing Costs'!$D$15/2)
      ) / 12
  ) &gt; 0,
  INT('Housing Costs'!$D$15
      - NPER(
          'Housing Costs'!$D$17/12,
          -(PMT('Housing Costs'!$D$17/12, 'Housing Costs'!$D$15*12, -('Housing Costs'!$B$9 - (O7*12*'Housing Costs'!$D$15/2))) + N7),
          'Housing Costs'!$B$9 - (O7*12*'Housing Costs'!$D$15/2)
        ) / 12
  )
  &amp; " Years, " &amp;
  INT(MOD(
    'Housing Costs'!$D$15
      - NPER(
          'Housing Costs'!$D$17/12,
          -(PMT('Housing Costs'!$D$17/12, 'Housing Costs'!$D$15*12, -('Housing Costs'!$B$9 - (O7*12*'Housing Costs'!$D$15/2))) + N7),
          'Housing Costs'!$B$9 - (O7*12*'Housing Costs'!$D$15/2)
        ) / 12,
    1
  ) * 12) &amp; " Months",
  "Not Saving Time"
)
</f>
      </c>
      <c r="O5" s="17"/>
      <c r="P5" s="116">
        <f>IF(
  ('Housing Costs'!$D$15
    - NPER(
        'Housing Costs'!$D$17/12,
        -(PMT('Housing Costs'!$D$17/12, 'Housing Costs'!$D$15*12, -('Housing Costs'!$B$9 - (Q7*12*'Housing Costs'!$D$15/2))) + P7),
        'Housing Costs'!$B$9 - (Q7*12*'Housing Costs'!$D$15/2)
      ) / 12
  ) &gt; 0,
  INT('Housing Costs'!$D$15
      - NPER(
          'Housing Costs'!$D$17/12,
          -(PMT('Housing Costs'!$D$17/12, 'Housing Costs'!$D$15*12, -('Housing Costs'!$B$9 - (Q7*12*'Housing Costs'!$D$15/2))) + P7),
          'Housing Costs'!$B$9 - (Q7*12*'Housing Costs'!$D$15/2)
        ) / 12
  )
  &amp; " Years, " &amp;
  INT(MOD(
    'Housing Costs'!$D$15
      - NPER(
          'Housing Costs'!$D$17/12,
          -(PMT('Housing Costs'!$D$17/12, 'Housing Costs'!$D$15*12, -('Housing Costs'!$B$9 - (Q7*12*'Housing Costs'!$D$15/2))) + P7),
          'Housing Costs'!$B$9 - (Q7*12*'Housing Costs'!$D$15/2)
        ) / 12,
    1
  ) * 12) &amp; " Months",
  "Not Saving Time"
)
</f>
      </c>
      <c r="Q5" s="17"/>
    </row>
    <row r="6">
      <c r="B6" s="116">
        <f>IFERROR(INT(B3/IF(B8,IF(C8,Budgeting!L23+Budgeting!L25,Budgeting!L23),IF(C8,Budgeting!L23,0))/12) &amp; " Years, " &amp; INT(MOD(B3/IF(B8,IF(C8,Budgeting!L23+Budgeting!L25,Budgeting!L23),IF(C8,Budgeting!L23,0)),12)) &amp; " Months","Not Saving")</f>
      </c>
      <c r="C6" s="17"/>
      <c r="E6" s="44"/>
      <c r="F6" s="46"/>
      <c r="G6" s="46"/>
      <c r="H6" s="46"/>
      <c r="I6" s="47"/>
      <c r="J6" s="148">
        <v>0</v>
      </c>
      <c r="L6" s="149" t="s">
        <v>24</v>
      </c>
      <c r="M6" s="151" t="s">
        <v>55</v>
      </c>
      <c r="N6" s="149" t="s">
        <v>24</v>
      </c>
      <c r="O6" s="151" t="s">
        <v>55</v>
      </c>
      <c r="P6" s="149" t="s">
        <v>24</v>
      </c>
      <c r="Q6" s="151" t="s">
        <v>55</v>
      </c>
    </row>
    <row r="7" ht="18.75" customHeight="1">
      <c r="A7" s="152"/>
      <c r="B7" s="149" t="s">
        <v>94</v>
      </c>
      <c r="C7" s="151" t="s">
        <v>55</v>
      </c>
      <c r="D7" s="152"/>
      <c r="E7" s="44"/>
      <c r="F7" s="46"/>
      <c r="G7" s="46"/>
      <c r="H7" s="46"/>
      <c r="I7" s="47"/>
      <c r="K7" s="152"/>
      <c r="L7" s="153">
        <v>1000</v>
      </c>
      <c r="M7" s="154">
        <v>0</v>
      </c>
      <c r="N7" s="72">
        <v>0</v>
      </c>
      <c r="O7" s="73">
        <v>1000</v>
      </c>
      <c r="P7" s="72">
        <v>500</v>
      </c>
      <c r="Q7" s="73">
        <v>500</v>
      </c>
      <c r="R7" s="152"/>
      <c r="S7" s="152"/>
      <c r="T7" s="152"/>
      <c r="U7" s="152"/>
      <c r="V7" s="152"/>
      <c r="W7" s="152"/>
      <c r="X7" s="152"/>
      <c r="Y7" s="152"/>
      <c r="Z7" s="152"/>
      <c r="AA7" s="152"/>
    </row>
    <row r="8" ht="22.5" customHeight="1">
      <c r="B8" s="72" t="b">
        <v>1</v>
      </c>
      <c r="C8" s="73" t="b">
        <v>1</v>
      </c>
      <c r="E8" s="44"/>
      <c r="F8" s="46"/>
      <c r="G8" s="46"/>
      <c r="H8" s="46"/>
      <c r="I8" s="47"/>
      <c r="L8" s="155" t="s">
        <v>96</v>
      </c>
      <c r="M8" s="25"/>
      <c r="N8" s="155" t="s">
        <v>96</v>
      </c>
      <c r="O8" s="25"/>
      <c r="P8" s="155" t="s">
        <v>96</v>
      </c>
      <c r="Q8" s="25"/>
    </row>
    <row r="9">
      <c r="E9" s="157"/>
      <c r="F9" s="159"/>
      <c r="G9" s="159"/>
      <c r="H9" s="159"/>
      <c r="I9" s="161"/>
      <c r="L9" s="66">
        <f>('Housing Costs'!$D$15 * 12 * PMT('Housing Costs'!$D$17 / 12, 'Housing Costs'!$D$15 * 12, -'Housing Costs'!$B$9)) - 'Housing Costs'!$B$9
</f>
      </c>
      <c r="M9" s="17"/>
      <c r="N9" s="66">
        <f>('Housing Costs'!$D$15 * 12 * PMT('Housing Costs'!$D$17 / 12, 'Housing Costs'!$D$15 * 12, -'Housing Costs'!$B$9)) - 'Housing Costs'!$B$9
</f>
      </c>
      <c r="O9" s="17"/>
      <c r="P9" s="66">
        <f>('Housing Costs'!$D$15 * 12 * PMT('Housing Costs'!$D$17 / 12, 'Housing Costs'!$D$15 * 12, -'Housing Costs'!$B$9)) - 'Housing Costs'!$B$9
</f>
      </c>
      <c r="Q9" s="17"/>
    </row>
    <row r="10">
      <c r="E10" s="15" t="s">
        <v>15</v>
      </c>
      <c r="I10" s="17"/>
      <c r="L10" s="15" t="s">
        <v>102</v>
      </c>
      <c r="M10" s="17"/>
      <c r="N10" s="15" t="s">
        <v>102</v>
      </c>
      <c r="O10" s="17"/>
      <c r="P10" s="15" t="s">
        <v>102</v>
      </c>
      <c r="Q10" s="17"/>
    </row>
    <row r="11">
      <c r="E11" s="30"/>
      <c r="F11" s="32"/>
      <c r="G11" s="32"/>
      <c r="H11" s="32"/>
      <c r="I11" s="34"/>
      <c r="J11" s="36" t="s">
        <v>24</v>
      </c>
      <c r="L11" s="66">
        <f>((PMT('Housing Costs'!$D$17 / 12, 'Housing Costs'!$D$15 * 12, -('Housing Costs'!$B$9 - (M7 * 12 * 'Housing Costs'!$D$15 / 2))) + L7)
*
NPER(
  'Housing Costs'!$D$17 / 12,
  -(PMT('Housing Costs'!$D$17 / 12, 'Housing Costs'!$D$15 * 12, -('Housing Costs'!$B$9 - (M7 * 12 * 'Housing Costs'!$D$15 / 2))) + L7),
  'Housing Costs'!$B$9 - (M7 * 12 * 'Housing Costs'!$D$15 / 2)
))
- ('Housing Costs'!$B$9 - (M7 * 12 * 'Housing Costs'!$D$15 / 2))
</f>
      </c>
      <c r="M11" s="17"/>
      <c r="N11" s="66">
        <f>((PMT('Housing Costs'!$D$17 / 12, 'Housing Costs'!$D$15 * 12, -('Housing Costs'!$B$9 - (O7 * 12 * 'Housing Costs'!$D$15 / 2))) + N7)
*
NPER(
  'Housing Costs'!$D$17 / 12,
  -(PMT('Housing Costs'!$D$17 / 12, 'Housing Costs'!$D$15 * 12, -('Housing Costs'!$B$9 - (O7 * 12 * 'Housing Costs'!$D$15 / 2))) + N7),
  'Housing Costs'!$B$9 - (O7 * 12 * 'Housing Costs'!$D$15 / 2)
))
- ('Housing Costs'!$B$9 - (O7 * 12 * 'Housing Costs'!$D$15 / 2))
</f>
      </c>
      <c r="O11" s="17"/>
      <c r="P11" s="66">
        <f>((PMT('Housing Costs'!$D$17 / 12, 'Housing Costs'!$D$15 * 12, -('Housing Costs'!$B$9 - (Q7 * 12 * 'Housing Costs'!$D$15 / 2))) + P7)
*
NPER(
  'Housing Costs'!$D$17 / 12,
  -(PMT('Housing Costs'!$D$17 / 12, 'Housing Costs'!$D$15 * 12, -('Housing Costs'!$B$9 - (Q7 * 12 * 'Housing Costs'!$D$15 / 2))) + P7),
  'Housing Costs'!$B$9 - (Q7 * 12 * 'Housing Costs'!$D$15 / 2)
))
- ('Housing Costs'!$B$9 - (Q7 * 12 * 'Housing Costs'!$D$15 / 2))
</f>
      </c>
      <c r="Q11" s="17"/>
    </row>
    <row r="12">
      <c r="E12" s="44"/>
      <c r="F12" s="46"/>
      <c r="G12" s="46"/>
      <c r="H12" s="46"/>
      <c r="I12" s="47"/>
      <c r="J12" s="148">
        <v>0</v>
      </c>
      <c r="L12" s="15" t="s">
        <v>25</v>
      </c>
      <c r="M12" s="17"/>
      <c r="N12" s="15" t="s">
        <v>25</v>
      </c>
      <c r="O12" s="17"/>
      <c r="P12" s="15" t="s">
        <v>25</v>
      </c>
      <c r="Q12" s="17"/>
    </row>
    <row r="13">
      <c r="E13" s="44"/>
      <c r="F13" s="46"/>
      <c r="G13" s="46"/>
      <c r="H13" s="46"/>
      <c r="I13" s="47"/>
      <c r="J13" s="36" t="s">
        <v>55</v>
      </c>
      <c r="L13" s="197">
        <f>(L9-L11)</f>
      </c>
      <c r="M13" s="198"/>
      <c r="N13" s="197">
        <f>(N9-N11)</f>
      </c>
      <c r="O13" s="198"/>
      <c r="P13" s="197">
        <f>(P9-P11)</f>
      </c>
      <c r="Q13" s="198"/>
    </row>
    <row r="14">
      <c r="E14" s="44"/>
      <c r="F14" s="46"/>
      <c r="G14" s="46"/>
      <c r="H14" s="46"/>
      <c r="I14" s="47"/>
      <c r="J14" s="148">
        <v>1000</v>
      </c>
    </row>
    <row r="15">
      <c r="E15" s="44"/>
      <c r="F15" s="46"/>
      <c r="G15" s="46"/>
      <c r="H15" s="46"/>
      <c r="I15" s="47"/>
    </row>
    <row r="16">
      <c r="E16" s="44"/>
      <c r="F16" s="46"/>
      <c r="G16" s="46"/>
      <c r="H16" s="46"/>
      <c r="I16" s="47"/>
    </row>
    <row r="17">
      <c r="E17" s="157"/>
      <c r="F17" s="159"/>
      <c r="G17" s="159"/>
      <c r="H17" s="159"/>
      <c r="I17" s="161"/>
    </row>
    <row r="18">
      <c r="E18" s="155" t="s">
        <v>17</v>
      </c>
      <c r="F18" s="26"/>
      <c r="G18" s="26"/>
      <c r="H18" s="26"/>
      <c r="I18" s="25"/>
    </row>
    <row r="19">
      <c r="E19" s="30"/>
      <c r="F19" s="32"/>
      <c r="G19" s="32"/>
      <c r="H19" s="32"/>
      <c r="I19" s="34"/>
      <c r="J19" s="36" t="s">
        <v>24</v>
      </c>
    </row>
    <row r="20">
      <c r="E20" s="44"/>
      <c r="F20" s="46"/>
      <c r="G20" s="46"/>
      <c r="H20" s="46"/>
      <c r="I20" s="47"/>
      <c r="J20" s="148">
        <v>500</v>
      </c>
    </row>
    <row r="21">
      <c r="E21" s="44"/>
      <c r="F21" s="46"/>
      <c r="G21" s="46"/>
      <c r="H21" s="46"/>
      <c r="I21" s="47"/>
      <c r="J21" s="36" t="s">
        <v>55</v>
      </c>
    </row>
    <row r="22">
      <c r="E22" s="44"/>
      <c r="F22" s="46"/>
      <c r="G22" s="46"/>
      <c r="H22" s="46"/>
      <c r="I22" s="47"/>
      <c r="J22" s="148">
        <v>500</v>
      </c>
    </row>
    <row r="23">
      <c r="E23" s="44"/>
      <c r="F23" s="46"/>
      <c r="G23" s="46"/>
      <c r="H23" s="46"/>
      <c r="I23" s="47"/>
    </row>
    <row r="24">
      <c r="E24" s="44"/>
      <c r="F24" s="46"/>
      <c r="G24" s="46"/>
      <c r="H24" s="46"/>
      <c r="I24" s="47"/>
    </row>
    <row r="25">
      <c r="E25" s="157"/>
      <c r="F25" s="159"/>
      <c r="G25" s="159"/>
      <c r="H25" s="159"/>
      <c r="I25" s="161"/>
    </row>
    <row r="26">
      <c r="E26" s="157"/>
      <c r="F26" s="159"/>
      <c r="G26" s="159"/>
      <c r="H26" s="159"/>
      <c r="I26" s="161"/>
    </row>
  </sheetData>
  <mergeCells count="40">
    <mergeCell ref="B2:C2"/>
    <mergeCell ref="B3:C3"/>
    <mergeCell ref="B5:C5"/>
    <mergeCell ref="B6:C6"/>
    <mergeCell ref="B1:C1"/>
    <mergeCell ref="E1:I1"/>
    <mergeCell ref="L1:Q1"/>
    <mergeCell ref="E2:I2"/>
    <mergeCell ref="L2:M2"/>
    <mergeCell ref="N2:O2"/>
    <mergeCell ref="P2:Q2"/>
    <mergeCell ref="N5:O5"/>
    <mergeCell ref="P5:Q5"/>
    <mergeCell ref="L3:M3"/>
    <mergeCell ref="N3:O3"/>
    <mergeCell ref="P3:Q3"/>
    <mergeCell ref="L4:M4"/>
    <mergeCell ref="N4:O4"/>
    <mergeCell ref="P4:Q4"/>
    <mergeCell ref="L5:M5"/>
    <mergeCell ref="L8:M8"/>
    <mergeCell ref="N8:O8"/>
    <mergeCell ref="P8:Q8"/>
    <mergeCell ref="L9:M9"/>
    <mergeCell ref="N9:O9"/>
    <mergeCell ref="P9:Q9"/>
    <mergeCell ref="E10:I10"/>
    <mergeCell ref="P10:Q10"/>
    <mergeCell ref="L12:M12"/>
    <mergeCell ref="L13:M13"/>
    <mergeCell ref="N13:O13"/>
    <mergeCell ref="P13:Q13"/>
    <mergeCell ref="E18:I18"/>
    <mergeCell ref="L10:M10"/>
    <mergeCell ref="N10:O10"/>
    <mergeCell ref="L11:M11"/>
    <mergeCell ref="N11:O11"/>
    <mergeCell ref="P11:Q11"/>
    <mergeCell ref="N12:O12"/>
    <mergeCell ref="P12:Q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6.29"/>
    <col customWidth="1" min="4" max="4" width="18.86"/>
    <col customWidth="1" min="6" max="6" width="19.29"/>
    <col customWidth="1" min="8" max="8" width="17.43"/>
    <col customWidth="1" min="9" max="9" width="20.43"/>
    <col customWidth="1" min="10" max="10" width="4.86"/>
    <col customWidth="1" min="12" max="12" width="17.0"/>
    <col customWidth="1" min="13" max="13" width="21.14"/>
    <col customWidth="1" min="14" max="14" width="13.29"/>
    <col customWidth="1" min="15" max="15" width="21.29"/>
    <col customWidth="1" min="16" max="16" width="13.29"/>
    <col customWidth="1" min="17" max="17" width="16.14"/>
    <col customWidth="1" min="18" max="18" width="18.0"/>
  </cols>
  <sheetData>
    <row r="2" ht="24.75" customHeight="1">
      <c r="B2" s="10" t="inlineStr">
        <is>
          <t xml:space="preserve">Current Budget</t>
        </is>
      </c>
      <c r="C2" s="12"/>
      <c r="D2" s="12"/>
      <c r="E2" s="12"/>
      <c r="F2" s="12"/>
      <c r="G2" s="12"/>
      <c r="H2" s="12"/>
      <c r="I2" s="12"/>
      <c r="J2" s="16"/>
      <c r="K2" s="10"/>
      <c r="L2" s="12"/>
      <c r="M2" s="12"/>
      <c r="N2" s="12"/>
      <c r="O2" s="12"/>
      <c r="P2" s="12"/>
      <c r="Q2" s="12"/>
      <c r="R2" s="12"/>
    </row>
    <row r="3">
      <c r="B3" s="20" t="s">
        <v>14</v>
      </c>
      <c r="C3" s="8"/>
      <c r="D3" s="22" t="inlineStr">
        <is>
          <t xml:space="preserve">P1</t>
        </is>
      </c>
      <c r="E3" s="8"/>
      <c r="F3" s="22" t="inlineStr">
        <is>
          <t xml:space="preserve">P2</t>
        </is>
      </c>
      <c r="G3" s="5"/>
      <c r="H3" s="24" t="s">
        <v>20</v>
      </c>
      <c r="I3" s="25"/>
      <c r="K3" s="24" t="s">
        <v>14</v>
      </c>
      <c r="L3" s="26"/>
      <c r="M3" s="22" t="inlineStr">
        <is>
          <t xml:space="preserve">P1</t>
        </is>
      </c>
      <c r="N3" s="8"/>
      <c r="O3" s="22" t="inlineStr">
        <is>
          <t xml:space="preserve">P2</t>
        </is>
      </c>
      <c r="P3" s="5"/>
      <c r="Q3" s="24" t="s">
        <v>20</v>
      </c>
      <c r="R3" s="25"/>
    </row>
    <row r="4">
      <c r="B4" s="29" t="inlineStr">
        <is>
          <t xml:space="preserve">Rent / Mortgage</t>
        </is>
      </c>
      <c r="C4" s="31">
        <v>2400</v>
      </c>
      <c r="D4" s="33" t="inlineStr">
        <is>
          <t xml:space="preserve">Phone</t>
        </is>
      </c>
      <c r="E4" s="35">
        <v>50</v>
      </c>
      <c r="F4" s="33"/>
      <c r="G4" s="35"/>
      <c r="H4" s="43">
        <f>IF(I13,SUM(Income!H23,Income!H5)+(I25*12),SUM(Income!H23,Income!H5))</f>
      </c>
      <c r="I4" s="17"/>
      <c r="K4" s="29"/>
      <c r="L4" s="31"/>
      <c r="M4" s="33"/>
      <c r="N4" s="35"/>
      <c r="O4" s="33"/>
      <c r="P4" s="35"/>
      <c r="Q4" s="43">
        <f>IF(I13,SUM(Income!H23,Income!H5)+(I25*12),SUM(Income!H23,Income!H5))</f>
      </c>
      <c r="R4" s="17"/>
    </row>
    <row r="5">
      <c r="B5" s="53" t="inlineStr">
        <is>
          <t xml:space="preserve">Electricity</t>
        </is>
      </c>
      <c r="C5" s="55">
        <v>115</v>
      </c>
      <c r="D5" s="53" t="inlineStr">
        <is>
          <t xml:space="preserve">Car rego</t>
        </is>
      </c>
      <c r="E5" s="55">
        <v>75</v>
      </c>
      <c r="F5" s="53"/>
      <c r="G5" s="55"/>
      <c r="H5" s="56" t="s">
        <v>34</v>
      </c>
      <c r="I5" s="17"/>
      <c r="K5" s="53"/>
      <c r="L5" s="55"/>
      <c r="M5" s="53"/>
      <c r="N5" s="55"/>
      <c r="O5" s="53"/>
      <c r="P5" s="55"/>
      <c r="Q5" s="56" t="s">
        <v>34</v>
      </c>
      <c r="R5" s="17"/>
    </row>
    <row r="6">
      <c r="B6" s="53" t="inlineStr">
        <is>
          <t xml:space="preserve">Internet</t>
        </is>
      </c>
      <c r="C6" s="55">
        <v>85</v>
      </c>
      <c r="D6" s="53"/>
      <c r="E6" s="55"/>
      <c r="F6" s="53"/>
      <c r="G6" s="55"/>
      <c r="H6" s="58" t="s">
        <v>18</v>
      </c>
      <c r="I6" s="59" t="s">
        <v>19</v>
      </c>
      <c r="K6" s="53"/>
      <c r="L6" s="55"/>
      <c r="M6" s="53"/>
      <c r="N6" s="55"/>
      <c r="O6" s="53"/>
      <c r="P6" s="55"/>
      <c r="Q6" s="58" t="s">
        <v>18</v>
      </c>
      <c r="R6" s="59" t="s">
        <v>19</v>
      </c>
    </row>
    <row r="7">
      <c r="B7" s="53" t="inlineStr">
        <is>
          <t xml:space="preserve">Groceries</t>
        </is>
      </c>
      <c r="C7" s="55">
        <v>1083.3333333333333</v>
      </c>
      <c r="D7" s="53"/>
      <c r="E7" s="55"/>
      <c r="F7" s="53"/>
      <c r="G7" s="55"/>
      <c r="H7" s="61">
        <f>IF(I13,Income!H5/(H4-(I25*12)),Income!H5/H4)</f>
      </c>
      <c r="I7" s="62">
        <f>IF(I13,Income!H23/(H4-(I25*12)),Income!H23/H4)</f>
      </c>
      <c r="K7" s="53"/>
      <c r="L7" s="55"/>
      <c r="M7" s="53"/>
      <c r="N7" s="55"/>
      <c r="O7" s="53"/>
      <c r="P7" s="55"/>
      <c r="Q7" s="61">
        <f>IF(I13,Income!H5/(H4-(I25*12)),Income!H5/H4)</f>
      </c>
      <c r="R7" s="62">
        <f>IF(I13,Income!H23/(H4-(I25*12)),Income!H23/H4)</f>
      </c>
    </row>
    <row r="8">
      <c r="B8" s="53"/>
      <c r="C8" s="55"/>
      <c r="D8" s="53"/>
      <c r="E8" s="55"/>
      <c r="F8" s="53"/>
      <c r="G8" s="55"/>
      <c r="H8" s="24" t="s">
        <v>47</v>
      </c>
      <c r="I8" s="25"/>
      <c r="K8" s="53"/>
      <c r="L8" s="55"/>
      <c r="M8" s="53"/>
      <c r="N8" s="55"/>
      <c r="O8" s="53"/>
      <c r="P8" s="55"/>
      <c r="Q8" s="24" t="s">
        <v>47</v>
      </c>
      <c r="R8" s="25"/>
    </row>
    <row r="9">
      <c r="B9" s="53"/>
      <c r="C9" s="55"/>
      <c r="D9" s="53"/>
      <c r="E9" s="55"/>
      <c r="F9" s="53"/>
      <c r="G9" s="67"/>
      <c r="H9" s="68" t="s">
        <v>49</v>
      </c>
      <c r="I9" s="69" t="s">
        <v>50</v>
      </c>
      <c r="K9" s="53"/>
      <c r="L9" s="55"/>
      <c r="M9" s="53"/>
      <c r="N9" s="55"/>
      <c r="O9" s="53"/>
      <c r="P9" s="67"/>
      <c r="Q9" s="68" t="s">
        <v>49</v>
      </c>
      <c r="R9" s="69" t="s">
        <v>50</v>
      </c>
    </row>
    <row r="10">
      <c r="B10" s="53"/>
      <c r="C10" s="55"/>
      <c r="D10" s="53"/>
      <c r="E10" s="55"/>
      <c r="F10" s="53"/>
      <c r="G10" s="67"/>
      <c r="H10" s="72" t="b">
        <v>0</v>
      </c>
      <c r="I10" s="73" t="b">
        <v>1</v>
      </c>
      <c r="K10" s="53"/>
      <c r="L10" s="55"/>
      <c r="M10" s="53"/>
      <c r="N10" s="55"/>
      <c r="O10" s="53"/>
      <c r="P10" s="67"/>
      <c r="Q10" s="72" t="b">
        <v>0</v>
      </c>
      <c r="R10" s="73" t="b">
        <v>1</v>
      </c>
    </row>
    <row r="11">
      <c r="B11" s="53"/>
      <c r="C11" s="55"/>
      <c r="D11" s="53"/>
      <c r="E11" s="55"/>
      <c r="F11" s="53"/>
      <c r="G11" s="67"/>
      <c r="H11" s="75" t="s">
        <v>54</v>
      </c>
      <c r="I11" s="76"/>
      <c r="K11" s="53"/>
      <c r="L11" s="55"/>
      <c r="M11" s="53"/>
      <c r="N11" s="55"/>
      <c r="O11" s="53"/>
      <c r="P11" s="67"/>
      <c r="Q11" s="75" t="s">
        <v>54</v>
      </c>
      <c r="R11" s="76"/>
    </row>
    <row r="12">
      <c r="B12" s="53"/>
      <c r="C12" s="55"/>
      <c r="D12" s="53"/>
      <c r="E12" s="55"/>
      <c r="F12" s="53"/>
      <c r="G12" s="67"/>
      <c r="H12" s="78" t="s">
        <v>57</v>
      </c>
      <c r="I12" s="79" t="s">
        <v>58</v>
      </c>
      <c r="K12" s="53"/>
      <c r="L12" s="55"/>
      <c r="M12" s="53"/>
      <c r="N12" s="55"/>
      <c r="O12" s="53"/>
      <c r="P12" s="67"/>
      <c r="Q12" s="78" t="s">
        <v>57</v>
      </c>
      <c r="R12" s="79" t="s">
        <v>58</v>
      </c>
    </row>
    <row r="13">
      <c r="B13" s="53"/>
      <c r="C13" s="55"/>
      <c r="D13" s="53"/>
      <c r="E13" s="55"/>
      <c r="F13" s="53"/>
      <c r="G13" s="55"/>
      <c r="H13" s="81" t="b">
        <v>1</v>
      </c>
      <c r="I13" s="82" t="b">
        <v>0</v>
      </c>
      <c r="K13" s="53"/>
      <c r="L13" s="55"/>
      <c r="M13" s="53"/>
      <c r="N13" s="55"/>
      <c r="O13" s="53"/>
      <c r="P13" s="55"/>
      <c r="Q13" s="81" t="b">
        <v>1</v>
      </c>
      <c r="R13" s="82" t="b">
        <v>0</v>
      </c>
    </row>
    <row r="14">
      <c r="B14" s="84"/>
      <c r="C14" s="85"/>
      <c r="D14" s="84"/>
      <c r="E14" s="85"/>
      <c r="F14" s="84"/>
      <c r="G14" s="85"/>
      <c r="H14" s="86"/>
      <c r="I14" s="88"/>
      <c r="K14" s="84"/>
      <c r="L14" s="85"/>
      <c r="M14" s="84"/>
      <c r="N14" s="85"/>
      <c r="O14" s="84"/>
      <c r="P14" s="85"/>
      <c r="Q14" s="86"/>
      <c r="R14" s="88"/>
    </row>
    <row r="15">
      <c r="B15" s="90" t="s">
        <v>63</v>
      </c>
      <c r="C15" s="92">
        <f>IF(I13,SUM(C4:C14),(SUM(C4:C14)-I25))</f>
      </c>
      <c r="D15" s="90" t="s">
        <v>63</v>
      </c>
      <c r="E15" s="93">
        <f>SUM(E4:E14)</f>
      </c>
      <c r="F15" s="90" t="s">
        <v>63</v>
      </c>
      <c r="G15" s="93">
        <f>SUM(G4:G14)</f>
      </c>
      <c r="H15" s="94"/>
      <c r="I15" s="88"/>
      <c r="K15" s="90" t="s">
        <v>63</v>
      </c>
      <c r="L15" s="92">
        <f>IF(R13,SUM(L4:L14),(SUM(L4:L14)-R25))</f>
      </c>
      <c r="M15" s="90" t="s">
        <v>63</v>
      </c>
      <c r="N15" s="93">
        <f>SUM(N4:N14)</f>
      </c>
      <c r="O15" s="90" t="s">
        <v>63</v>
      </c>
      <c r="P15" s="93">
        <f>SUM(P4:P14)</f>
      </c>
      <c r="Q15" s="94"/>
      <c r="R15" s="88"/>
    </row>
    <row r="16">
      <c r="B16" s="90" t="s">
        <v>64</v>
      </c>
      <c r="C16" s="93">
        <f>SUM(C15,E15,G15)</f>
      </c>
      <c r="D16" s="96" t="s">
        <v>18</v>
      </c>
      <c r="E16" s="97">
        <f>IF(I10,IF(H10,C16*H7,(C15*H7)+E15),IF(H10,C16*0.5,(C15*0.5)+E15))</f>
      </c>
      <c r="F16" s="96" t="s">
        <v>66</v>
      </c>
      <c r="G16" s="97">
        <f>IF(I10,IF(H10,C16*I7,(C15*I7)+G15),IF(H10,C16*0.5,(C15*0.5)+G15))*12/26</f>
      </c>
      <c r="H16" s="94"/>
      <c r="I16" s="88"/>
      <c r="K16" s="90" t="s">
        <v>64</v>
      </c>
      <c r="L16" s="93">
        <f>SUM(L15,N15,P15)</f>
      </c>
      <c r="M16" s="96" t="s">
        <v>18</v>
      </c>
      <c r="N16" s="97">
        <f>IF(R10,IF(Q10,L16*Q7,(L15*Q7)+N15),IF(Q10,L16*0.5,(L15*0.5)+N15))</f>
      </c>
      <c r="O16" s="96" t="s">
        <v>66</v>
      </c>
      <c r="P16" s="97">
        <f>IF(R10,IF(Q10,L16*R7,(L15*R7)+P15),IF(Q10,L16*0.5,(L15*0.5)+P15))*12/26</f>
      </c>
      <c r="Q16" s="94"/>
      <c r="R16" s="88"/>
    </row>
    <row r="17">
      <c r="B17" s="101" t="s">
        <v>69</v>
      </c>
      <c r="C17" s="102">
        <f>H4/12</f>
      </c>
      <c r="D17" s="103" t="s">
        <v>70</v>
      </c>
      <c r="E17" s="104">
        <f>(H4*H7)/12</f>
      </c>
      <c r="F17" s="105" t="s">
        <v>71</v>
      </c>
      <c r="G17" s="106">
        <f>(H4*I7)/26</f>
      </c>
      <c r="H17" s="94"/>
      <c r="I17" s="88"/>
      <c r="K17" s="101" t="s">
        <v>69</v>
      </c>
      <c r="L17" s="102">
        <f>Q4/12</f>
      </c>
      <c r="M17" s="103" t="s">
        <v>70</v>
      </c>
      <c r="N17" s="104">
        <f>(Q4*Q7)/12</f>
      </c>
      <c r="O17" s="105" t="s">
        <v>71</v>
      </c>
      <c r="P17" s="106">
        <f>(Q4*R7)/26</f>
      </c>
      <c r="Q17" s="94"/>
      <c r="R17" s="88"/>
    </row>
    <row r="18">
      <c r="B18" s="107" t="s">
        <v>73</v>
      </c>
      <c r="C18" s="12"/>
      <c r="D18" s="108" t="s">
        <v>75</v>
      </c>
      <c r="E18" s="109">
        <f>E17-E16</f>
      </c>
      <c r="F18" s="110" t="s">
        <v>75</v>
      </c>
      <c r="G18" s="111">
        <f>G17-G16</f>
      </c>
      <c r="H18" s="112"/>
      <c r="I18" s="55"/>
      <c r="K18" s="107" t="s">
        <v>73</v>
      </c>
      <c r="L18" s="12"/>
      <c r="M18" s="108" t="s">
        <v>75</v>
      </c>
      <c r="N18" s="109">
        <f>N17-N16</f>
      </c>
      <c r="O18" s="110" t="s">
        <v>75</v>
      </c>
      <c r="P18" s="111">
        <f>P17-P16</f>
      </c>
      <c r="Q18" s="112"/>
      <c r="R18" s="55"/>
    </row>
    <row r="19">
      <c r="B19" s="113" t="s">
        <v>76</v>
      </c>
      <c r="C19" s="114">
        <v>600</v>
      </c>
      <c r="D19" s="115" t="inlineStr">
        <is>
          <t xml:space="preserve">General</t>
        </is>
      </c>
      <c r="E19" s="118">
        <f>IF(I10,C19*H7,C19*0.5)</f>
      </c>
      <c r="F19" s="119" t="inlineStr">
        <is>
          <t xml:space="preserve">General</t>
        </is>
      </c>
      <c r="G19" s="120">
        <f>IF(I10,C19*I7,C19*0.5)*12/26</f>
      </c>
      <c r="H19" s="112"/>
      <c r="I19" s="55"/>
      <c r="K19" s="113" t="s">
        <v>76</v>
      </c>
      <c r="L19" s="114"/>
      <c r="M19" s="115"/>
      <c r="N19" s="118">
        <f>IF(R10,L19*Q7,L19*0.5)</f>
      </c>
      <c r="O19" s="119"/>
      <c r="P19" s="121">
        <f>IF(R10,L19*R7,L19*0.5)*12/26</f>
      </c>
      <c r="Q19" s="112"/>
      <c r="R19" s="55"/>
    </row>
    <row r="20">
      <c r="B20" s="122"/>
      <c r="C20" s="123"/>
      <c r="D20" s="108" t="s">
        <v>75</v>
      </c>
      <c r="E20" s="109">
        <f>E18-E19</f>
      </c>
      <c r="F20" s="110" t="s">
        <v>75</v>
      </c>
      <c r="G20" s="111">
        <f>G18-G19</f>
      </c>
      <c r="H20" s="112"/>
      <c r="I20" s="55"/>
      <c r="K20" s="122"/>
      <c r="L20" s="123"/>
      <c r="M20" s="108" t="s">
        <v>75</v>
      </c>
      <c r="N20" s="109">
        <f>N18-N19</f>
      </c>
      <c r="O20" s="110" t="s">
        <v>75</v>
      </c>
      <c r="P20" s="111">
        <f>P18-P19</f>
      </c>
      <c r="Q20" s="112"/>
      <c r="R20" s="55"/>
    </row>
    <row r="21">
      <c r="B21" s="113" t="s">
        <v>76</v>
      </c>
      <c r="C21" s="114">
        <v>600</v>
      </c>
      <c r="D21" s="115" t="inlineStr">
        <is>
          <t xml:space="preserve">Shared Account</t>
        </is>
      </c>
      <c r="E21" s="118">
        <f>IF(I10,C21*H7,C21*0.5)</f>
      </c>
      <c r="F21" s="119" t="inlineStr">
        <is>
          <t xml:space="preserve">Shared Account</t>
        </is>
      </c>
      <c r="G21" s="121">
        <f>IF(I10,C21*I7,C21*0.5)*12/26</f>
      </c>
      <c r="H21" s="112"/>
      <c r="I21" s="55"/>
      <c r="K21" s="113" t="s">
        <v>76</v>
      </c>
      <c r="L21" s="114"/>
      <c r="M21" s="115"/>
      <c r="N21" s="118">
        <f>IF(R10,L21*Q7,L21*0.5)</f>
      </c>
      <c r="O21" s="119"/>
      <c r="P21" s="121">
        <f>IF(R10,L21*R7,L21*0.5)*12/26</f>
      </c>
      <c r="Q21" s="112"/>
      <c r="R21" s="55"/>
    </row>
    <row r="22">
      <c r="B22" s="122"/>
      <c r="C22" s="125" t="s">
        <v>81</v>
      </c>
      <c r="D22" s="108" t="s">
        <v>75</v>
      </c>
      <c r="E22" s="109">
        <f>E20-E21</f>
      </c>
      <c r="F22" s="110" t="s">
        <v>75</v>
      </c>
      <c r="G22" s="111">
        <f>G20-G21</f>
      </c>
      <c r="H22" s="112"/>
      <c r="I22" s="55"/>
      <c r="K22" s="122"/>
      <c r="L22" s="125" t="s">
        <v>81</v>
      </c>
      <c r="M22" s="108" t="s">
        <v>75</v>
      </c>
      <c r="N22" s="109">
        <f>N20-N21</f>
      </c>
      <c r="O22" s="110" t="s">
        <v>75</v>
      </c>
      <c r="P22" s="111">
        <f>P20-P21</f>
      </c>
      <c r="Q22" s="112"/>
      <c r="R22" s="55"/>
    </row>
    <row r="23">
      <c r="B23" s="113" t="s">
        <v>76</v>
      </c>
      <c r="C23" s="114">
        <v>1500</v>
      </c>
      <c r="D23" s="115" t="inlineStr">
        <is>
          <t xml:space="preserve">Savings</t>
        </is>
      </c>
      <c r="E23" s="118">
        <f>IF(I10,C23*H7,C23*0.5)</f>
      </c>
      <c r="F23" s="127" t="inlineStr">
        <is>
          <t xml:space="preserve">Savings</t>
        </is>
      </c>
      <c r="G23" s="121">
        <f>IF(I10,C23*I7,C23*0.5)*12/26</f>
      </c>
      <c r="H23" s="112"/>
      <c r="I23" s="55"/>
      <c r="K23" s="113" t="s">
        <v>76</v>
      </c>
      <c r="L23" s="114"/>
      <c r="M23" s="115"/>
      <c r="N23" s="118">
        <f>IF(R10,L23*Q7,L23*0.5)</f>
      </c>
      <c r="O23" s="127"/>
      <c r="P23" s="121">
        <f>IF(R10,L23*R7,L23*0.5)*12/26</f>
      </c>
      <c r="Q23" s="112"/>
      <c r="R23" s="55"/>
    </row>
    <row r="24">
      <c r="B24" s="122"/>
      <c r="C24" s="125" t="s">
        <v>81</v>
      </c>
      <c r="D24" s="108" t="s">
        <v>75</v>
      </c>
      <c r="E24" s="109">
        <f>E22-E23</f>
      </c>
      <c r="F24" s="110" t="s">
        <v>75</v>
      </c>
      <c r="G24" s="139">
        <f>G22-G23</f>
      </c>
      <c r="H24" s="112"/>
      <c r="I24" s="55"/>
      <c r="K24" s="122"/>
      <c r="L24" s="125" t="s">
        <v>81</v>
      </c>
      <c r="M24" s="108" t="s">
        <v>75</v>
      </c>
      <c r="N24" s="109">
        <f>N22-N23</f>
      </c>
      <c r="O24" s="110" t="s">
        <v>75</v>
      </c>
      <c r="P24" s="139">
        <f>P22-P23</f>
      </c>
      <c r="Q24" s="112"/>
      <c r="R24" s="55"/>
    </row>
    <row r="25">
      <c r="B25" s="113" t="s">
        <v>76</v>
      </c>
      <c r="C25" s="114">
        <v>0</v>
      </c>
      <c r="D25" s="115" t="inlineStr">
        <is>
          <t xml:space="preserve">Investments</t>
        </is>
      </c>
      <c r="E25" s="118">
        <f>IF(I10,C25*H7,C25*0.5)</f>
      </c>
      <c r="F25" s="119" t="inlineStr">
        <is>
          <t xml:space="preserve">Investments</t>
        </is>
      </c>
      <c r="G25" s="121">
        <f>IF(I10,C25*I7,C25*0.5)*12/26</f>
      </c>
      <c r="H25" s="143" t="s">
        <v>93</v>
      </c>
      <c r="I25" s="111">
        <f>IF(H13,0,SUM(I14:I24))</f>
      </c>
      <c r="K25" s="113" t="s">
        <v>76</v>
      </c>
      <c r="L25" s="114"/>
      <c r="M25" s="115"/>
      <c r="N25" s="118">
        <f>IF(R10,L25*Q7,L25*0.5)</f>
      </c>
      <c r="O25" s="119"/>
      <c r="P25" s="121">
        <f>IF(R10,L25*R7,L25*0.5)*12/26</f>
      </c>
      <c r="Q25" s="143" t="s">
        <v>93</v>
      </c>
      <c r="R25" s="111">
        <f>IF(Q13,0,SUM(R14:R24))</f>
      </c>
    </row>
    <row r="26">
      <c r="B26" s="122"/>
      <c r="C26" s="123"/>
      <c r="D26" s="108" t="s">
        <v>75</v>
      </c>
      <c r="E26" s="109">
        <f>E24-E25</f>
      </c>
      <c r="F26" s="110" t="s">
        <v>75</v>
      </c>
      <c r="G26" s="111">
        <f>G24-G25</f>
      </c>
      <c r="H26" s="150"/>
      <c r="I26" s="26"/>
      <c r="K26" s="122"/>
      <c r="L26" s="123"/>
      <c r="M26" s="108" t="s">
        <v>75</v>
      </c>
      <c r="N26" s="109">
        <f>N24-N25</f>
      </c>
      <c r="O26" s="110" t="s">
        <v>75</v>
      </c>
      <c r="P26" s="111">
        <f>P24-P25</f>
      </c>
      <c r="Q26" s="150"/>
      <c r="R26" s="26"/>
    </row>
    <row r="27">
      <c r="B27" s="113" t="s">
        <v>76</v>
      </c>
      <c r="C27" s="114">
        <v>100</v>
      </c>
      <c r="D27" s="115" t="inlineStr">
        <is>
          <t xml:space="preserve">Gifts</t>
        </is>
      </c>
      <c r="E27" s="118">
        <f>IF(I10,C27*H7,C27*0.5)</f>
      </c>
      <c r="F27" s="119" t="inlineStr">
        <is>
          <t xml:space="preserve">Gifts</t>
        </is>
      </c>
      <c r="G27" s="121">
        <f>IF(I10,C27*I7,C27*0.5)*12/26</f>
      </c>
      <c r="H27" s="156" t="s">
        <v>97</v>
      </c>
      <c r="K27" s="113" t="s">
        <v>76</v>
      </c>
      <c r="L27" s="114"/>
      <c r="M27" s="115"/>
      <c r="N27" s="118">
        <f>IF(R10,L27*Q7,L27*0.5)</f>
      </c>
      <c r="O27" s="119"/>
      <c r="P27" s="121">
        <f>IF(R10,L27*R7,L27*0.5)*12/26</f>
      </c>
      <c r="Q27" s="156" t="s">
        <v>97</v>
      </c>
    </row>
    <row r="28">
      <c r="B28" s="122"/>
      <c r="C28" s="123"/>
      <c r="D28" s="108" t="s">
        <v>75</v>
      </c>
      <c r="E28" s="109">
        <f>E26-E27</f>
      </c>
      <c r="F28" s="110" t="s">
        <v>75</v>
      </c>
      <c r="G28" s="111">
        <f>G26-G27</f>
      </c>
      <c r="H28" s="168">
        <f>(C17-C30)-(E30+(G30*26/12))</f>
      </c>
      <c r="K28" s="122"/>
      <c r="L28" s="123"/>
      <c r="M28" s="108" t="s">
        <v>75</v>
      </c>
      <c r="N28" s="109">
        <f>N26-N27</f>
      </c>
      <c r="O28" s="110" t="s">
        <v>75</v>
      </c>
      <c r="P28" s="111">
        <f>P26-P27</f>
      </c>
      <c r="Q28" s="168">
        <f>(L17-L30)-(N30+(P30*26/12))</f>
      </c>
    </row>
    <row r="29">
      <c r="B29" s="113" t="s">
        <v>76</v>
      </c>
      <c r="C29" s="114">
        <v>300</v>
      </c>
      <c r="D29" s="115" t="inlineStr">
        <is>
          <t xml:space="preserve">FU Money</t>
        </is>
      </c>
      <c r="E29" s="118">
        <f>IF(I10,C29*H7,C29*0.5)</f>
      </c>
      <c r="F29" s="119" t="inlineStr">
        <is>
          <t xml:space="preserve">FU Money</t>
        </is>
      </c>
      <c r="G29" s="121">
        <f>IF(I10,C29*I7,C29*0.5)*12/26</f>
      </c>
      <c r="K29" s="113" t="s">
        <v>76</v>
      </c>
      <c r="L29" s="114"/>
      <c r="M29" s="115"/>
      <c r="N29" s="118">
        <f>IF(R10,L29*Q7,L29*0.5)</f>
      </c>
      <c r="O29" s="119"/>
      <c r="P29" s="121">
        <f>IF(R10,L29*R7,L29*0.5)*12/26</f>
      </c>
    </row>
    <row r="30">
      <c r="B30" s="184" t="s">
        <v>76</v>
      </c>
      <c r="C30" s="186">
        <f>SUM(C31:C32)</f>
      </c>
      <c r="D30" s="187" t="s">
        <v>75</v>
      </c>
      <c r="E30" s="188">
        <f>E28-E29</f>
      </c>
      <c r="F30" s="190" t="s">
        <v>75</v>
      </c>
      <c r="G30" s="186">
        <f>G28-G29</f>
      </c>
      <c r="K30" s="184" t="s">
        <v>76</v>
      </c>
      <c r="L30" s="186">
        <f>SUM(L31:L32)</f>
      </c>
      <c r="M30" s="187" t="s">
        <v>75</v>
      </c>
      <c r="N30" s="188">
        <f>N28-N29</f>
      </c>
      <c r="O30" s="190" t="s">
        <v>75</v>
      </c>
      <c r="P30" s="186">
        <f>P28-P29</f>
      </c>
    </row>
    <row r="31">
      <c r="B31" s="184" t="s">
        <v>107</v>
      </c>
      <c r="C31" s="186">
        <f>SUM(E31,(G31*26/12))</f>
      </c>
      <c r="D31" s="191" t="s">
        <v>107</v>
      </c>
      <c r="E31" s="192">
        <f>SUM(E19,E21,E16)</f>
      </c>
      <c r="F31" s="193" t="s">
        <v>108</v>
      </c>
      <c r="G31" s="194">
        <f>SUM(G19,G21,G16)</f>
      </c>
      <c r="K31" s="184" t="s">
        <v>107</v>
      </c>
      <c r="L31" s="186">
        <f>SUM(N31,(P31*26/12))</f>
      </c>
      <c r="M31" s="191" t="s">
        <v>107</v>
      </c>
      <c r="N31" s="192">
        <f>SUM(N19,N21,N16)</f>
      </c>
      <c r="O31" s="193" t="s">
        <v>108</v>
      </c>
      <c r="P31" s="194">
        <f>SUM(P19,P21,P16)</f>
      </c>
    </row>
    <row r="32">
      <c r="B32" s="184" t="s">
        <v>110</v>
      </c>
      <c r="C32" s="188">
        <f>SUM(C23,C25,C27,C29)</f>
      </c>
      <c r="D32" s="196" t="s">
        <v>111</v>
      </c>
      <c r="E32" s="188">
        <f>SUM(E23,E25,E27,E29)</f>
      </c>
      <c r="F32" s="199" t="s">
        <v>112</v>
      </c>
      <c r="G32" s="186">
        <f>SUM(G23,G25,G27,G29)</f>
      </c>
      <c r="K32" s="184" t="s">
        <v>110</v>
      </c>
      <c r="L32" s="188">
        <f>SUM(L23,L25,L27,L29)</f>
      </c>
      <c r="M32" s="196" t="s">
        <v>111</v>
      </c>
      <c r="N32" s="188">
        <f>SUM(N23,N25,N27,N29)</f>
      </c>
      <c r="O32" s="199" t="s">
        <v>112</v>
      </c>
      <c r="P32" s="186">
        <f>SUM(P23,P25,P27,P29)</f>
      </c>
    </row>
    <row r="34">
      <c r="L34" s="203" t="s">
        <v>115</v>
      </c>
      <c r="M34" s="5"/>
      <c r="N34" s="113" t="s">
        <v>116</v>
      </c>
    </row>
    <row r="35">
      <c r="L35" s="115" t="s">
        <v>117</v>
      </c>
      <c r="M35" s="206">
        <f>SUM(N27,N25,N23,N16)</f>
      </c>
      <c r="N35" s="207">
        <v>5000.0</v>
      </c>
    </row>
    <row r="36">
      <c r="H36" s="209" t="s">
        <v>119</v>
      </c>
      <c r="L36" s="115" t="s">
        <v>79</v>
      </c>
      <c r="M36" s="206">
        <f>N21</f>
      </c>
      <c r="N36" s="207">
        <f>M36</f>
      </c>
    </row>
    <row r="37">
      <c r="L37" s="115" t="s">
        <v>120</v>
      </c>
      <c r="M37" s="206">
        <f>N19</f>
      </c>
      <c r="N37" s="207">
        <v>800.0</v>
      </c>
      <c r="P37" s="209" t="s">
        <v>119</v>
      </c>
    </row>
    <row r="38">
      <c r="L38" s="212" t="s">
        <v>103</v>
      </c>
      <c r="M38" s="214">
        <f>N29</f>
      </c>
      <c r="N38" s="207">
        <v>300.0</v>
      </c>
    </row>
    <row r="39">
      <c r="L39" s="90" t="s">
        <v>75</v>
      </c>
      <c r="M39" s="92">
        <f>N17-SUM(M35:M38)</f>
      </c>
      <c r="N39" s="92">
        <f>M39+(SUM(M35:M38)-SUM(N35:N38))</f>
      </c>
    </row>
    <row r="40">
      <c r="C40" s="216"/>
    </row>
    <row r="41">
      <c r="C41" s="216"/>
    </row>
    <row r="42">
      <c r="C42" s="216"/>
    </row>
    <row r="43">
      <c r="C43" s="216"/>
    </row>
    <row r="44">
      <c r="C44" s="216"/>
    </row>
    <row r="45">
      <c r="C45" s="216"/>
    </row>
    <row r="46">
      <c r="C46" s="216"/>
    </row>
  </sheetData>
  <mergeCells count="27">
    <mergeCell ref="B2:I2"/>
    <mergeCell ref="K2:R2"/>
    <mergeCell ref="B3:C3"/>
    <mergeCell ref="D3:E3"/>
    <mergeCell ref="F3:G3"/>
    <mergeCell ref="H3:I3"/>
    <mergeCell ref="K3:L3"/>
    <mergeCell ref="Q3:R3"/>
    <mergeCell ref="M3:N3"/>
    <mergeCell ref="O3:P3"/>
    <mergeCell ref="H4:I4"/>
    <mergeCell ref="Q4:R4"/>
    <mergeCell ref="H5:I5"/>
    <mergeCell ref="Q5:R5"/>
    <mergeCell ref="Q8:R8"/>
    <mergeCell ref="Q11:R11"/>
    <mergeCell ref="H27:I27"/>
    <mergeCell ref="H28:I28"/>
    <mergeCell ref="L34:M34"/>
    <mergeCell ref="H8:I8"/>
    <mergeCell ref="H11:I11"/>
    <mergeCell ref="B18:C18"/>
    <mergeCell ref="K18:L18"/>
    <mergeCell ref="H26:I26"/>
    <mergeCell ref="Q26:R26"/>
    <mergeCell ref="Q27:R27"/>
    <mergeCell ref="Q28:R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6.14"/>
    <col customWidth="1" min="3" max="4" width="15.0"/>
    <col customWidth="1" min="5" max="5" width="4.57"/>
    <col customWidth="1" min="6" max="26" width="8.71"/>
  </cols>
  <sheetData>
    <row r="1" ht="7.5" customHeight="1">
      <c r="E1" s="1"/>
    </row>
    <row r="2" ht="14.25" customHeight="1">
      <c r="B2" s="2" t="s">
        <v>3</v>
      </c>
      <c r="C2" s="4"/>
      <c r="D2" s="6"/>
      <c r="E2" s="1"/>
    </row>
    <row r="3" ht="14.25" customHeight="1">
      <c r="B3" s="9" t="s">
        <v>5</v>
      </c>
      <c r="C3" s="11" t="s">
        <v>7</v>
      </c>
      <c r="D3" s="11" t="s">
        <v>8</v>
      </c>
      <c r="E3" s="13"/>
    </row>
    <row r="4" ht="14.25" customHeight="1">
      <c r="B4" s="18" t="s">
        <v>10</v>
      </c>
      <c r="C4" s="27">
        <f>G13</f>
      </c>
      <c r="D4" s="37">
        <f>((Income!H9-C8)/12)+(Income!K8-(Income!K8*0.15))</f>
      </c>
      <c r="F4" s="40" t="s">
        <v>26</v>
      </c>
      <c r="G4" s="42"/>
      <c r="H4" s="45"/>
    </row>
    <row r="5" ht="14.25" customHeight="1">
      <c r="B5" s="18" t="s">
        <v>29</v>
      </c>
      <c r="C5" s="37">
        <f t="shared" ref="C5:D5" si="1">C4*12</f>
      </c>
      <c r="D5" s="37">
        <f t="shared" si="1"/>
      </c>
      <c r="F5" s="49"/>
      <c r="H5" s="50"/>
    </row>
    <row r="6" ht="14.25" customHeight="1">
      <c r="B6" s="18" t="s">
        <v>30</v>
      </c>
      <c r="C6" s="37">
        <f t="shared" ref="C6:D6" si="2">C5*3</f>
      </c>
      <c r="D6" s="37">
        <f t="shared" si="2"/>
      </c>
      <c r="F6" s="51"/>
      <c r="G6" s="52"/>
      <c r="H6" s="54"/>
    </row>
    <row r="7" ht="14.25" customHeight="1">
      <c r="B7" s="18" t="s">
        <v>33</v>
      </c>
      <c r="C7" s="37">
        <f t="shared" ref="C7:D7" si="3">C5*5</f>
      </c>
      <c r="D7" s="37">
        <f t="shared" si="3"/>
      </c>
    </row>
    <row r="8" ht="14.25" customHeight="1">
      <c r="B8" s="57" t="s">
        <v>36</v>
      </c>
      <c r="C8" s="60">
        <f>Income!H5-(G13*12)</f>
      </c>
      <c r="F8" s="40" t="s">
        <v>40</v>
      </c>
      <c r="G8" s="42"/>
      <c r="H8" s="45"/>
    </row>
    <row r="9" ht="14.25" customHeight="1">
      <c r="F9" s="49"/>
      <c r="H9" s="50"/>
    </row>
    <row r="10" ht="14.25" customHeight="1">
      <c r="B10" s="2" t="s">
        <v>41</v>
      </c>
      <c r="C10" s="4"/>
      <c r="D10" s="6"/>
      <c r="F10" s="51"/>
      <c r="G10" s="52"/>
      <c r="H10" s="54"/>
    </row>
    <row r="11" ht="14.25" customHeight="1">
      <c r="B11" s="9" t="s">
        <v>42</v>
      </c>
      <c r="C11" s="11" t="s">
        <v>43</v>
      </c>
      <c r="D11" s="11" t="s">
        <v>44</v>
      </c>
    </row>
    <row r="12" ht="14.25" customHeight="1">
      <c r="B12" s="18" t="s">
        <v>10</v>
      </c>
      <c r="C12" s="37">
        <f>((Income!H9-C8)/12)</f>
      </c>
      <c r="D12" s="37">
        <f>(Income!K8-(Income!K8*0.15))</f>
      </c>
      <c r="F12" s="63" t="s">
        <v>45</v>
      </c>
      <c r="G12" s="64"/>
      <c r="H12" s="65"/>
    </row>
    <row r="13" ht="14.25" customHeight="1">
      <c r="B13" s="18" t="s">
        <v>29</v>
      </c>
      <c r="C13" s="37">
        <f t="shared" ref="C13:D13" si="4">C12*12</f>
      </c>
      <c r="D13" s="37">
        <f t="shared" si="4"/>
      </c>
      <c r="F13" s="70" t="s">
        <v>51</v>
      </c>
      <c r="G13" s="71">
        <v>0</v>
      </c>
      <c r="H13" s="45"/>
    </row>
    <row r="14" ht="14.25" customHeight="1">
      <c r="B14" s="18" t="s">
        <v>30</v>
      </c>
      <c r="C14" s="37">
        <f t="shared" ref="C14:D14" si="5">C13*3</f>
      </c>
      <c r="D14" s="37">
        <f t="shared" si="5"/>
      </c>
      <c r="F14" s="74"/>
      <c r="G14" s="51"/>
      <c r="H14" s="54"/>
    </row>
    <row r="15" ht="14.25" customHeight="1">
      <c r="B15" s="18" t="s">
        <v>33</v>
      </c>
      <c r="C15" s="37">
        <f>C13*5</f>
      </c>
      <c r="D15" s="80">
        <f>IF(D13*5&gt;50000,50000,D13*5)</f>
      </c>
    </row>
    <row r="16" ht="14.25" customHeight="1">
      <c r="B16" s="18" t="s">
        <v>61</v>
      </c>
      <c r="C16" s="80">
        <f>IF(D13*5&gt;50000,(D13*5-50000)+(C13*5),C13*5)</f>
      </c>
      <c r="D16" s="89">
        <f>(D13*5-50000)</f>
      </c>
    </row>
    <row r="17" ht="14.25" customHeight="1"/>
    <row r="18" ht="14.25" customHeight="1"/>
    <row r="19" ht="14.25" customHeight="1">
      <c r="B19" s="2" t="s">
        <v>3</v>
      </c>
      <c r="C19" s="4"/>
      <c r="D19" s="6"/>
      <c r="E19" s="1"/>
    </row>
    <row r="20" ht="14.25" customHeight="1">
      <c r="B20" s="9" t="s">
        <v>5</v>
      </c>
      <c r="C20" s="11" t="s">
        <v>7</v>
      </c>
      <c r="D20" s="11" t="s">
        <v>8</v>
      </c>
      <c r="E20" s="13"/>
    </row>
    <row r="21" ht="14.25" customHeight="1">
      <c r="B21" s="18" t="s">
        <v>10</v>
      </c>
      <c r="C21" s="27">
        <f>G30</f>
      </c>
      <c r="D21" s="37">
        <f>((Income!H27-C25)/12)+(Income!K26-(Income!K26*0.15))</f>
      </c>
      <c r="F21" s="40" t="s">
        <v>26</v>
      </c>
      <c r="G21" s="42"/>
      <c r="H21" s="45"/>
    </row>
    <row r="22" ht="14.25" customHeight="1">
      <c r="B22" s="18" t="s">
        <v>29</v>
      </c>
      <c r="C22" s="37">
        <f t="shared" ref="C22:D22" si="6">C21*12</f>
      </c>
      <c r="D22" s="37">
        <f t="shared" si="6"/>
      </c>
      <c r="F22" s="49"/>
      <c r="H22" s="50"/>
    </row>
    <row r="23" ht="14.25" customHeight="1">
      <c r="B23" s="18" t="s">
        <v>30</v>
      </c>
      <c r="C23" s="37">
        <f t="shared" ref="C23:D23" si="7">C22*3</f>
      </c>
      <c r="D23" s="37">
        <f t="shared" si="7"/>
      </c>
      <c r="F23" s="51"/>
      <c r="G23" s="52"/>
      <c r="H23" s="54"/>
    </row>
    <row r="24" ht="14.25" customHeight="1">
      <c r="B24" s="18" t="s">
        <v>33</v>
      </c>
      <c r="C24" s="37">
        <f t="shared" ref="C24:D24" si="8">C22*5</f>
      </c>
      <c r="D24" s="37">
        <f t="shared" si="8"/>
      </c>
    </row>
    <row r="25" ht="14.25" customHeight="1">
      <c r="B25" s="57" t="s">
        <v>36</v>
      </c>
      <c r="C25" s="60">
        <f>Income!H23-(G30*12)</f>
      </c>
      <c r="F25" s="40" t="s">
        <v>40</v>
      </c>
      <c r="G25" s="42"/>
      <c r="H25" s="45"/>
    </row>
    <row r="26" ht="14.25" customHeight="1">
      <c r="F26" s="49"/>
      <c r="H26" s="50"/>
    </row>
    <row r="27" ht="14.25" customHeight="1">
      <c r="B27" s="2" t="s">
        <v>41</v>
      </c>
      <c r="C27" s="4"/>
      <c r="D27" s="6"/>
      <c r="F27" s="51"/>
      <c r="G27" s="52"/>
      <c r="H27" s="54"/>
    </row>
    <row r="28" ht="14.25" customHeight="1">
      <c r="B28" s="9" t="s">
        <v>42</v>
      </c>
      <c r="C28" s="11" t="s">
        <v>43</v>
      </c>
      <c r="D28" s="11" t="s">
        <v>44</v>
      </c>
    </row>
    <row r="29" ht="14.25" customHeight="1">
      <c r="B29" s="18" t="s">
        <v>10</v>
      </c>
      <c r="C29" s="37">
        <f>((Income!H27-C25)/12)</f>
      </c>
      <c r="D29" s="37">
        <f>(Income!K26-(Income!K26*0.15))</f>
      </c>
      <c r="F29" s="63" t="s">
        <v>45</v>
      </c>
      <c r="G29" s="64"/>
      <c r="H29" s="65"/>
    </row>
    <row r="30" ht="14.25" customHeight="1">
      <c r="B30" s="18" t="s">
        <v>29</v>
      </c>
      <c r="C30" s="37">
        <f t="shared" ref="C30:D30" si="9">C29*12</f>
      </c>
      <c r="D30" s="37">
        <f t="shared" si="9"/>
      </c>
      <c r="F30" s="70" t="s">
        <v>51</v>
      </c>
      <c r="G30" s="71">
        <v>0</v>
      </c>
      <c r="H30" s="45"/>
    </row>
    <row r="31" ht="14.25" customHeight="1">
      <c r="B31" s="18" t="s">
        <v>30</v>
      </c>
      <c r="C31" s="37">
        <f t="shared" ref="C31:D31" si="10">C30*3</f>
      </c>
      <c r="D31" s="37">
        <f t="shared" si="10"/>
      </c>
      <c r="F31" s="74"/>
      <c r="G31" s="51"/>
      <c r="H31" s="54"/>
    </row>
    <row r="32" ht="14.25" customHeight="1">
      <c r="B32" s="18" t="s">
        <v>33</v>
      </c>
      <c r="C32" s="37">
        <f>C30*5</f>
      </c>
      <c r="D32" s="80">
        <f>IF(D30*5&gt;50000,50000,D30*5)</f>
      </c>
    </row>
    <row r="33" ht="14.25" customHeight="1">
      <c r="B33" s="18" t="s">
        <v>61</v>
      </c>
      <c r="C33" s="80">
        <f>IF(D30*5&gt;50000,(D30*5-50000)+(C30*5),C30*5)</f>
      </c>
      <c r="D33" s="89">
        <f>(D30*5-50000)</f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6">
    <mergeCell ref="B10:D10"/>
    <mergeCell ref="B19:D19"/>
    <mergeCell ref="F21:H23"/>
    <mergeCell ref="C25:D25"/>
    <mergeCell ref="F25:H27"/>
    <mergeCell ref="B27:D27"/>
    <mergeCell ref="F29:H29"/>
    <mergeCell ref="F30:F31"/>
    <mergeCell ref="G30:H31"/>
    <mergeCell ref="B2:D2"/>
    <mergeCell ref="F4:H6"/>
    <mergeCell ref="C8:D8"/>
    <mergeCell ref="F8:H10"/>
    <mergeCell ref="F12:H12"/>
    <mergeCell ref="F13:F14"/>
    <mergeCell ref="G13:H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1.43"/>
    <col customWidth="1" min="3" max="4" width="19.43"/>
    <col customWidth="1" min="5" max="5" width="3.57"/>
    <col customWidth="1" min="6" max="26" width="8.71"/>
  </cols>
  <sheetData>
    <row r="1" ht="7.5" customHeight="1"/>
    <row r="2" ht="14.25" customHeight="1">
      <c r="B2" s="77" t="s">
        <v>55</v>
      </c>
      <c r="C2" s="4"/>
      <c r="D2" s="4"/>
      <c r="F2" s="63" t="s">
        <v>59</v>
      </c>
      <c r="G2" s="64"/>
      <c r="H2" s="65"/>
    </row>
    <row r="3" ht="14.25" customHeight="1">
      <c r="B3" s="9" t="s">
        <v>42</v>
      </c>
      <c r="C3" s="83" t="s">
        <v>7</v>
      </c>
      <c r="D3" s="83" t="s">
        <v>8</v>
      </c>
      <c r="F3" s="87" t="s">
        <v>62</v>
      </c>
      <c r="G3" s="91">
        <v>0.05</v>
      </c>
      <c r="H3" s="45"/>
    </row>
    <row r="4" ht="14.25" customHeight="1">
      <c r="B4" s="18" t="s">
        <v>10</v>
      </c>
      <c r="C4" s="37">
        <f>IF(F6,(('Basic Savings'!C4)*(1+(G3/12-(G3/12*'Logic Sheet'!B12))))+G12,(('Basic Savings'!C4)*(1+G3/12))+G12)</f>
      </c>
      <c r="D4" s="95">
        <f t="shared" ref="D4:D7" si="1">SUM(C11:D11)</f>
      </c>
      <c r="E4" s="37"/>
      <c r="F4" s="74"/>
      <c r="G4" s="51"/>
      <c r="H4" s="54"/>
    </row>
    <row r="5" ht="14.25" customHeight="1">
      <c r="B5" s="18" t="s">
        <v>29</v>
      </c>
      <c r="C5" s="37">
        <f>IF(F6,(-FV((G3/12-((G3/12)*'Logic Sheet'!B12)),12,('Basic Savings'!C4),G12,1)),(-FV(G3/12,12,('Basic Savings'!C4),G12,1)))</f>
      </c>
      <c r="D5" s="95">
        <f t="shared" si="1"/>
      </c>
      <c r="F5" s="98" t="s">
        <v>65</v>
      </c>
      <c r="G5" s="64"/>
      <c r="H5" s="65"/>
      <c r="J5" s="99" t="inlineStr">
        <is>
          <t xml:space="preserve">P1</t>
        </is>
      </c>
    </row>
    <row r="6" ht="14.25" customHeight="1">
      <c r="B6" s="18" t="s">
        <v>30</v>
      </c>
      <c r="C6" s="37">
        <f>IF(F6,(-FV((G3/12-((G3/12)*'Logic Sheet'!B12)),3*12,('Basic Savings'!C4),G12,1)),(-FV(G3/12,3*12,('Basic Savings'!C4),G12,1)))</f>
      </c>
      <c r="D6" s="95">
        <f t="shared" si="1"/>
      </c>
      <c r="F6" s="100" t="b">
        <v>1</v>
      </c>
      <c r="G6" s="42"/>
      <c r="H6" s="45"/>
    </row>
    <row r="7" ht="14.25" customHeight="1">
      <c r="B7" s="18" t="s">
        <v>33</v>
      </c>
      <c r="C7" s="37">
        <f>IF(F6,(-FV((G3/12-((G3/12)*'Logic Sheet'!B12)),5*12,('Basic Savings'!C4),G12,1)),(-FV(G3/12,5*12,('Basic Savings'!C4),G12,1)))</f>
      </c>
      <c r="D7" s="95">
        <f t="shared" si="1"/>
      </c>
      <c r="F7" s="51"/>
      <c r="G7" s="52"/>
      <c r="H7" s="54"/>
    </row>
    <row r="8" ht="14.25" customHeight="1">
      <c r="F8" s="98" t="s">
        <v>72</v>
      </c>
      <c r="G8" s="64"/>
      <c r="H8" s="65"/>
    </row>
    <row r="9" ht="14.25" customHeight="1">
      <c r="B9" s="2" t="s">
        <v>41</v>
      </c>
      <c r="C9" s="4"/>
      <c r="D9" s="6"/>
      <c r="F9" s="100" t="inlineStr">
        <is>
          <t xml:space="preserve">Aware Super</t>
        </is>
      </c>
      <c r="G9" s="42"/>
      <c r="H9" s="45"/>
    </row>
    <row r="10" ht="14.25" customHeight="1">
      <c r="B10" s="9" t="s">
        <v>42</v>
      </c>
      <c r="C10" s="11" t="s">
        <v>43</v>
      </c>
      <c r="D10" s="11" t="s">
        <v>44</v>
      </c>
      <c r="F10" s="51"/>
      <c r="G10" s="52"/>
      <c r="H10" s="54"/>
    </row>
    <row r="11" ht="14.25" customHeight="1">
      <c r="B11" s="18" t="s">
        <v>10</v>
      </c>
      <c r="C11" s="117">
        <f>IF(F6,(((Income!H9-'Basic Savings'!C8)/12)*(1+(G3/12-(G3/12/100*32.5))))+G12,(((Income!H9-'Basic Savings'!C8)/12)*(1+G3/12))+G12)</f>
      </c>
      <c r="D11" s="37">
        <f>(Income!K8-(Income!K8*0.15)+G14)</f>
      </c>
      <c r="F11" s="98" t="s">
        <v>78</v>
      </c>
      <c r="G11" s="64"/>
      <c r="H11" s="65"/>
    </row>
    <row r="12" ht="14.25" customHeight="1">
      <c r="B12" s="18" t="s">
        <v>29</v>
      </c>
      <c r="C12" s="37">
        <f>IF(F6,(-FV((G3/12-((G3/12)*'Logic Sheet'!B12)),12,((Income!H9-'Basic Savings'!C8)/12),G12,1)),(-FV(G3/12,12,((Income!H9-'Basic Savings'!C8)/12),G12,1)))</f>
      </c>
      <c r="D12" s="37">
        <f>IF(-FV('Logic Sheet'!C9/12,12,(Income!K8-(Income!K8*0.15)),G14,1)*'Logic Sheet'!C5+'Logic Sheet'!B5 &lt;'Logic Sheet'!D5,-FV('Logic Sheet'!C9/12,12,(Income!K8-(Income!K8*0.15)),G14,1)-(-FV('Logic Sheet'!C9/12,12,(Income!K8-(Income!K8*0.15)),G14,1)*'Logic Sheet'!C5+'Logic Sheet'!B5),(-FV('Logic Sheet'!C9/12,12,(Income!K8-(Income!K8*0.15)),G14,1)) - 'Logic Sheet'!D5)</f>
      </c>
      <c r="F12" s="124" t="s">
        <v>80</v>
      </c>
      <c r="G12" s="126">
        <v>10000</v>
      </c>
      <c r="H12" s="45"/>
    </row>
    <row r="13" ht="14.25" customHeight="1">
      <c r="B13" s="18" t="s">
        <v>30</v>
      </c>
      <c r="C13" s="37">
        <f>IF(F6,(-FV((G3/12-((G3/12)*'Logic Sheet'!B12)),3*12,((Income!H9-'Basic Savings'!C8)/12),G12,1)),(-FV(G3/12,3*12,((Income!H9-'Basic Savings'!C8)/12),G12,1)))</f>
      </c>
      <c r="D13" s="37">
        <f>IF(-FV('Logic Sheet'!D9/12,3*12,(Income!K8-(Income!K8*0.15)),G14,1)*'Logic Sheet'!C5+'Logic Sheet'!B5 &lt;'Logic Sheet'!D5,-FV('Logic Sheet'!D9/12,3*12,(Income!K8-(Income!K8*0.15)),G14,1)-(-FV('Logic Sheet'!D9/12,3*12,(Income!K8-(Income!K8*0.15)),G14,1)*'Logic Sheet'!C5+'Logic Sheet'!B5),(-FV('Logic Sheet'!D9/12,3*12,(Income!K8-(Income!K8*0.15)),G14,1)) - 'Logic Sheet'!D5)</f>
      </c>
      <c r="F13" s="74"/>
      <c r="G13" s="51"/>
      <c r="H13" s="54"/>
    </row>
    <row r="14" ht="14.25" customHeight="1">
      <c r="B14" s="18" t="s">
        <v>33</v>
      </c>
      <c r="C14" s="37">
        <f>IF(F6,(-FV((G3/12-((G3/12)*'Logic Sheet'!B12)),5*12,((Income!H9-'Basic Savings'!C8)/12),G12,1)),(-FV(G3/12,5*12,((Income!H9-'Basic Savings'!C8)/12),G12,1)))</f>
      </c>
      <c r="D14" s="158">
        <f>IF(-FV('Logic Sheet'!E9/12,5*12,(Income!K8-(Income!K8*0.15)),G14,1)*'Logic Sheet'!C5+'Logic Sheet'!B5 &lt;'Logic Sheet'!D5,-FV('Logic Sheet'!E9/12,5*12,(Income!K8-(Income!K8*0.15)),G14,1)-(-FV('Logic Sheet'!E9/12,5*12,(Income!K8-(Income!K8*0.15)),G14,1)*'Logic Sheet'!C5+'Logic Sheet'!B5),(-FV('Logic Sheet'!E9/12,5*12,(Income!K8-(Income!K8*0.15)),G14,1)) - 'Logic Sheet'!D5)</f>
      </c>
      <c r="F14" s="124" t="s">
        <v>98</v>
      </c>
      <c r="G14" s="162">
        <v>0</v>
      </c>
      <c r="H14" s="50"/>
    </row>
    <row r="15" ht="14.25" customHeight="1">
      <c r="B15" s="18" t="s">
        <v>61</v>
      </c>
      <c r="C15" s="80">
        <f>IF(D14&gt;50000,(D14-50000)+(C14),C14)</f>
      </c>
      <c r="D15" s="89">
        <f>IF(D14&lt;50000,D14,D14-50000)</f>
      </c>
      <c r="F15" s="74"/>
      <c r="G15" s="52"/>
      <c r="H15" s="54"/>
    </row>
    <row r="16" ht="14.25" customHeight="1">
      <c r="B16" s="169" t="s">
        <v>100</v>
      </c>
      <c r="C16" s="95">
        <f>SUM(C14:D14)</f>
      </c>
      <c r="D16" s="170" t="s">
        <v>101</v>
      </c>
    </row>
    <row r="17" ht="14.25" customHeight="1"/>
    <row r="18" ht="14.25" customHeight="1"/>
    <row r="19" ht="14.25" customHeight="1">
      <c r="B19" s="171" t="s">
        <v>55</v>
      </c>
      <c r="E19" s="172"/>
      <c r="F19" s="173" t="s">
        <v>59</v>
      </c>
      <c r="G19" s="64"/>
      <c r="H19" s="65"/>
    </row>
    <row r="20" ht="14.25" customHeight="1">
      <c r="B20" s="174" t="s">
        <v>42</v>
      </c>
      <c r="C20" s="175" t="s">
        <v>7</v>
      </c>
      <c r="D20" s="175" t="s">
        <v>8</v>
      </c>
      <c r="E20" s="172"/>
      <c r="F20" s="176" t="s">
        <v>62</v>
      </c>
      <c r="G20" s="177">
        <v>0.05</v>
      </c>
      <c r="H20" s="50"/>
    </row>
    <row r="21" ht="14.25" customHeight="1">
      <c r="B21" s="179" t="s">
        <v>10</v>
      </c>
      <c r="C21" s="37">
        <f>IF(F23,(('Basic Savings'!C21)*(1+(G20/12-(G20/12*'Logic Sheet'!B29))))+G29,(('Basic Savings'!C21)*(1+G20/12))+G29)</f>
      </c>
      <c r="D21" s="182">
        <f t="shared" ref="D21:D24" si="2">SUM(C28:D28)</f>
      </c>
      <c r="E21" s="183"/>
      <c r="F21" s="54"/>
      <c r="G21" s="52"/>
      <c r="H21" s="54"/>
      <c r="J21" s="99" t="inlineStr">
        <is>
          <t xml:space="preserve">P2</t>
        </is>
      </c>
    </row>
    <row r="22" ht="14.25" customHeight="1">
      <c r="B22" s="179" t="s">
        <v>29</v>
      </c>
      <c r="C22" s="37">
        <f>IF(F23,(-FV((G20/12-((G20/12)*'Logic Sheet'!B29)),12,('Basic Savings'!C21),G29,1)),(-FV(G20/12,12,('Basic Savings'!C21),G29,1)))</f>
      </c>
      <c r="D22" s="182">
        <f t="shared" si="2"/>
      </c>
      <c r="E22" s="172"/>
      <c r="F22" s="189" t="s">
        <v>65</v>
      </c>
      <c r="G22" s="52"/>
      <c r="H22" s="54"/>
    </row>
    <row r="23" ht="14.25" customHeight="1">
      <c r="B23" s="179" t="s">
        <v>30</v>
      </c>
      <c r="C23" s="37">
        <f>IF(F23,(-FV((G20/12-((G20/12)*'Logic Sheet'!B29)),3*12,('Basic Savings'!C21),G29,1)),(-FV(G20/12,3*12,('Basic Savings'!C21),G29,1)))</f>
      </c>
      <c r="D23" s="182">
        <f t="shared" si="2"/>
      </c>
      <c r="E23" s="172"/>
      <c r="F23" s="100" t="b">
        <v>1</v>
      </c>
      <c r="G23" s="42"/>
      <c r="H23" s="45"/>
    </row>
    <row r="24" ht="14.25" customHeight="1">
      <c r="B24" s="179" t="s">
        <v>33</v>
      </c>
      <c r="C24" s="37">
        <f>IF(F23,(-FV((G20/12-((G20/12)*'Logic Sheet'!B29)),5*12,('Basic Savings'!C21),G29,1)),(-FV(G20/12,5*12,('Basic Savings'!C21),G29,1)))</f>
      </c>
      <c r="D24" s="182">
        <f t="shared" si="2"/>
      </c>
      <c r="E24" s="172"/>
      <c r="F24" s="51"/>
      <c r="G24" s="52"/>
      <c r="H24" s="54"/>
    </row>
    <row r="25" ht="14.25" customHeight="1">
      <c r="B25" s="195"/>
      <c r="C25" s="195"/>
      <c r="D25" s="195"/>
      <c r="E25" s="172"/>
      <c r="F25" s="189" t="s">
        <v>72</v>
      </c>
      <c r="G25" s="52"/>
      <c r="H25" s="54"/>
    </row>
    <row r="26" ht="14.25" customHeight="1">
      <c r="B26" s="171" t="s">
        <v>41</v>
      </c>
      <c r="E26" s="172"/>
      <c r="F26" s="100" t="inlineStr">
        <is>
          <t xml:space="preserve">Aware Super</t>
        </is>
      </c>
      <c r="G26" s="42"/>
      <c r="H26" s="45"/>
    </row>
    <row r="27" ht="14.25" customHeight="1">
      <c r="B27" s="174" t="s">
        <v>42</v>
      </c>
      <c r="C27" s="175" t="s">
        <v>43</v>
      </c>
      <c r="D27" s="175" t="s">
        <v>44</v>
      </c>
      <c r="E27" s="172"/>
      <c r="F27" s="51"/>
      <c r="G27" s="52"/>
      <c r="H27" s="54"/>
    </row>
    <row r="28" ht="14.25" customHeight="1">
      <c r="B28" s="179" t="s">
        <v>10</v>
      </c>
      <c r="C28" s="117">
        <f>IF(F23,(((Income!H27-'Basic Savings'!C25)/12)*(1+(G20/12-(G20/12/100*32.5))))+G29,(((Income!H26-'Basic Savings'!C25)/12)*(1+G20/12))+G29)</f>
      </c>
      <c r="D28" s="182">
        <f>(Income!K26-(Income!K26*0.15)+G31)</f>
      </c>
      <c r="E28" s="172"/>
      <c r="F28" s="189" t="s">
        <v>78</v>
      </c>
      <c r="G28" s="52"/>
      <c r="H28" s="54"/>
    </row>
    <row r="29" ht="14.25" customHeight="1">
      <c r="B29" s="179" t="s">
        <v>29</v>
      </c>
      <c r="C29" s="37">
        <f>IF(F23,(-FV((G20/12-((G20/12)*'Logic Sheet'!B29)),12,((Income!H26-'Basic Savings'!C25)/12),G29,1)),(-FV(G20/12,12,((Income!H26-'Basic Savings'!C25)/12),G29,1)))</f>
      </c>
      <c r="D29" s="182">
        <f>IF(-FV('Logic Sheet'!C27/12,12,(Income!K26-(Income!K26*0.15)),G31,1)*'Logic Sheet'!C23+'Logic Sheet'!B23 &lt;'Logic Sheet'!D23,-FV('Logic Sheet'!C27/12,12,(Income!K26-(Income!K26*0.15)),G31,1)-(-FV('Logic Sheet'!C27/12,12,(Income!K26-(Income!K26*0.15)),G31,1)*'Logic Sheet'!C23+'Logic Sheet'!B23),(-FV('Logic Sheet'!C27/12,12,(Income!K26-(Income!K26*0.15)),G31,1)) - 'Logic Sheet'!D23)</f>
      </c>
      <c r="E29" s="172"/>
      <c r="F29" s="215" t="s">
        <v>80</v>
      </c>
      <c r="G29" s="217">
        <v>5000</v>
      </c>
      <c r="H29" s="50"/>
    </row>
    <row r="30" ht="14.25" customHeight="1">
      <c r="B30" s="179" t="s">
        <v>30</v>
      </c>
      <c r="C30" s="37">
        <f>IF(F23,(-FV((G20/12-((G20/12)*'Logic Sheet'!B29)),3*12,((Income!H26-'Basic Savings'!C25)/12),G29,1)),(-FV(G20/12,3*12,((Income!H26-'Basic Savings'!C25)/12),G29,1)))</f>
      </c>
      <c r="D30" s="182">
        <f>IF(-FV('Logic Sheet'!D27/12,3*12,(Income!K26-(Income!K26*0.15)),G31,1)*'Logic Sheet'!C23+'Logic Sheet'!B23 &lt;'Logic Sheet'!D23,-FV('Logic Sheet'!D27/12,3*12,(Income!K26-(Income!K26*0.15)),G31,1)-(-FV('Logic Sheet'!D27/12,3*12,(Income!K26-(Income!K26*0.15)),G31,1)*'Logic Sheet'!C23+'Logic Sheet'!B23),(-FV('Logic Sheet'!D27/12,3*12,(Income!K26-(Income!K26*0.15)),G31,1)) - 'Logic Sheet'!D23)</f>
      </c>
      <c r="E30" s="172"/>
      <c r="F30" s="54"/>
      <c r="G30" s="52"/>
      <c r="H30" s="54"/>
      <c r="J30" s="19" t="s">
        <v>123</v>
      </c>
    </row>
    <row r="31" ht="14.25" customHeight="1">
      <c r="B31" s="179" t="s">
        <v>33</v>
      </c>
      <c r="C31" s="37">
        <f>IF(F23,(-FV((G20/12-((G20/12)*'Logic Sheet'!B29)),5*12,((Income!H26-'Basic Savings'!C25)/12),G29,1)),(-FV(G20/12,5*12,((Income!H26-'Basic Savings'!C25)/12),G29,1)))</f>
      </c>
      <c r="D31" s="221">
        <f>IF(-FV('Logic Sheet'!E27/12,5*12,(Income!K26-(Income!K26*0.15)),G31,1)*'Logic Sheet'!C23+'Logic Sheet'!B23 &lt;'Logic Sheet'!D23,-FV('Logic Sheet'!E27/12,5*12,(Income!K26-(Income!K26*0.15)),G31,1)-(-FV('Logic Sheet'!E27/12,5*12,(Income!K26-(Income!K26*0.15)),G31,1)*'Logic Sheet'!C23+'Logic Sheet'!B23),(-FV('Logic Sheet'!E27/12,5*12,(Income!K26-(Income!K26*0.15)),G31,1)) - 'Logic Sheet'!D23)</f>
      </c>
      <c r="E31" s="172"/>
      <c r="F31" s="215" t="s">
        <v>98</v>
      </c>
      <c r="G31" s="162">
        <v>0</v>
      </c>
      <c r="H31" s="50"/>
    </row>
    <row r="32" ht="14.25" customHeight="1">
      <c r="B32" s="179" t="s">
        <v>61</v>
      </c>
      <c r="C32" s="80">
        <f>IF(D31&gt;50000,(D31-50000)+(C31),C31)</f>
      </c>
      <c r="D32" s="222">
        <f>IF(D31&lt;50000,D31,D31-50000)</f>
      </c>
      <c r="E32" s="172"/>
      <c r="F32" s="54"/>
      <c r="G32" s="52"/>
      <c r="H32" s="54"/>
    </row>
    <row r="33" ht="14.25" customHeight="1">
      <c r="B33" s="174" t="s">
        <v>100</v>
      </c>
      <c r="C33" s="95">
        <f>SUM(C31:D31)</f>
      </c>
      <c r="D33" s="223" t="s">
        <v>101</v>
      </c>
      <c r="E33" s="195"/>
      <c r="F33" s="195"/>
      <c r="G33" s="195"/>
      <c r="H33" s="195"/>
    </row>
    <row r="34" ht="14.25" customHeight="1"/>
    <row r="35" ht="14.25" customHeight="1"/>
    <row r="36" ht="14.25" customHeight="1"/>
    <row r="37" ht="14.25" customHeight="1">
      <c r="G37" s="224"/>
      <c r="H37" s="224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1">
    <mergeCell ref="F8:H8"/>
    <mergeCell ref="B9:D9"/>
    <mergeCell ref="B2:D2"/>
    <mergeCell ref="F2:H2"/>
    <mergeCell ref="F3:F4"/>
    <mergeCell ref="G3:H4"/>
    <mergeCell ref="F5:H5"/>
    <mergeCell ref="J5:L12"/>
    <mergeCell ref="F6:H7"/>
    <mergeCell ref="F9:H10"/>
    <mergeCell ref="F11:H11"/>
    <mergeCell ref="F12:F13"/>
    <mergeCell ref="G12:H13"/>
    <mergeCell ref="F14:F15"/>
    <mergeCell ref="G14:H15"/>
    <mergeCell ref="B19:D19"/>
    <mergeCell ref="F25:H25"/>
    <mergeCell ref="F26:H27"/>
    <mergeCell ref="F29:F30"/>
    <mergeCell ref="G29:H30"/>
    <mergeCell ref="F31:F32"/>
    <mergeCell ref="G31:H32"/>
    <mergeCell ref="J21:L28"/>
    <mergeCell ref="J30:L30"/>
    <mergeCell ref="F19:H19"/>
    <mergeCell ref="F20:F21"/>
    <mergeCell ref="G20:H21"/>
    <mergeCell ref="F22:H22"/>
    <mergeCell ref="F23:H24"/>
    <mergeCell ref="B26:D26"/>
    <mergeCell ref="F28:H28"/>
  </mergeCells>
  <dataValidations>
    <dataValidation type="list" allowBlank="1" sqref="F9 F26">
      <formula1>'Super Data'!$B$6:$B$39</formula1>
    </dataValidation>
    <dataValidation type="decimal" allowBlank="1" showDropDown="1" showErrorMessage="1" sqref="G3">
      <formula1>1.0</formula1>
      <formula2>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1.29"/>
    <col customWidth="1" min="3" max="3" width="14.57"/>
    <col customWidth="1" min="4" max="4" width="14.14"/>
    <col customWidth="1" min="5" max="5" width="13.29"/>
    <col customWidth="1" min="6" max="6" width="14.14"/>
    <col customWidth="1" min="7" max="7" width="13.0"/>
    <col customWidth="1" min="8" max="8" width="14.14"/>
    <col customWidth="1" min="9" max="9" width="4.0"/>
    <col customWidth="1" min="10" max="10" width="11.57"/>
    <col customWidth="1" min="11" max="11" width="17.29"/>
    <col customWidth="1" min="12" max="26" width="8.71"/>
  </cols>
  <sheetData>
    <row r="1" ht="7.5" customHeight="1"/>
    <row r="2" ht="14.25" customHeight="1">
      <c r="B2" s="128" t="s">
        <v>82</v>
      </c>
      <c r="C2" s="129"/>
      <c r="D2" s="129"/>
      <c r="E2" s="129"/>
      <c r="F2" s="129"/>
      <c r="G2" s="129"/>
      <c r="H2" s="130"/>
    </row>
    <row r="3" ht="14.25" customHeight="1">
      <c r="B3" s="131" t="s">
        <v>83</v>
      </c>
      <c r="C3" s="132" t="s">
        <v>84</v>
      </c>
      <c r="D3" s="133" t="s">
        <v>85</v>
      </c>
      <c r="E3" s="134" t="s">
        <v>86</v>
      </c>
      <c r="F3" s="133" t="s">
        <v>87</v>
      </c>
      <c r="G3" s="133" t="s">
        <v>88</v>
      </c>
      <c r="H3" s="132" t="s">
        <v>89</v>
      </c>
      <c r="J3" s="135" t="s">
        <v>90</v>
      </c>
      <c r="K3" s="136"/>
    </row>
    <row r="4" ht="15.75" customHeight="1">
      <c r="A4" s="137"/>
      <c r="B4" s="138" t="s">
        <v>10</v>
      </c>
      <c r="C4" s="140">
        <f t="shared" ref="C4:H4" si="1">C5/12</f>
      </c>
      <c r="D4" s="141">
        <f t="shared" si="1"/>
      </c>
      <c r="E4" s="141">
        <f t="shared" si="1"/>
      </c>
      <c r="F4" s="141">
        <f t="shared" si="1"/>
      </c>
      <c r="G4" s="141">
        <f t="shared" si="1"/>
      </c>
      <c r="H4" s="142">
        <f t="shared" si="1"/>
      </c>
      <c r="I4" s="137"/>
      <c r="J4" s="144" t="s">
        <v>92</v>
      </c>
      <c r="K4" s="145">
        <v>90000</v>
      </c>
      <c r="L4" s="146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 ht="15.75" customHeight="1">
      <c r="A5" s="137"/>
      <c r="B5" s="138" t="s">
        <v>29</v>
      </c>
      <c r="C5" s="147">
        <f>K4</f>
      </c>
      <c r="D5" s="141">
        <f>C5/1.115</f>
      </c>
      <c r="E5" s="141">
        <f>D5-(IF(D5 &lt;= 18200, 0, IF(D5 &lt;= 45000, (D5 - 18200) * 0.16, IF(D5 &lt;= 135000, (D5 - 45000) * 0.3 + 4288, IF(D5 &lt;= 190000, (D5 - 135000) * 0.37 + 31288 , (D5 - 190000) * 0.45 + 51638)))))
</f>
      </c>
      <c r="F5" s="141">
        <f>E5</f>
      </c>
      <c r="G5" s="160">
        <f>F5+IF(D5 &lt;= 37500, 700, IF(D5 &lt;= 45000, 700 - (D5 - 37500) * 0.05, IF(D5 &lt;= 66667, 325 - (D5 - 45000) * 0.015, 0)))</f>
      </c>
      <c r="H5" s="142">
        <f>G5-(D5*0.02)</f>
      </c>
      <c r="I5" s="137"/>
      <c r="J5" s="163"/>
      <c r="K5" s="164"/>
      <c r="L5" s="146"/>
      <c r="M5" s="137"/>
      <c r="N5" s="165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 ht="14.25" customHeight="1">
      <c r="B6" s="138" t="s">
        <v>99</v>
      </c>
      <c r="C6" s="166">
        <f>SUM(E6:H6)</f>
      </c>
      <c r="D6" s="167">
        <f>D5*0.115</f>
      </c>
      <c r="E6" s="141">
        <f>D5-E5</f>
      </c>
      <c r="F6" s="141">
        <f>0</f>
      </c>
      <c r="G6" s="160">
        <f>-IF(D5 &lt;= 37500, 700, IF(D5 &lt;= 45000, 700 - (D5 - 37500) * 0.05, IF(D5 &lt;= 66667, 325 - (D5 - 45000) * 0.015, 0)))</f>
      </c>
      <c r="H6" s="142">
        <f>D5*0.02</f>
      </c>
      <c r="K6" s="178"/>
      <c r="N6" s="180"/>
    </row>
    <row r="7" ht="14.25" customHeight="1">
      <c r="B7" s="128" t="s">
        <v>104</v>
      </c>
      <c r="C7" s="129"/>
      <c r="D7" s="129"/>
      <c r="E7" s="129"/>
      <c r="F7" s="129"/>
      <c r="G7" s="129"/>
      <c r="H7" s="130"/>
      <c r="J7" s="63" t="s">
        <v>105</v>
      </c>
      <c r="K7" s="65"/>
      <c r="N7" s="181"/>
    </row>
    <row r="8" ht="14.25" customHeight="1">
      <c r="B8" s="138" t="s">
        <v>10</v>
      </c>
      <c r="C8" s="140">
        <f>C9/12</f>
      </c>
      <c r="D8" s="141">
        <f>C8/1.115-(K8)</f>
      </c>
      <c r="E8" s="141">
        <f t="shared" ref="E8:H8" si="2">E9/12</f>
      </c>
      <c r="F8" s="141">
        <f t="shared" si="2"/>
      </c>
      <c r="G8" s="141">
        <f t="shared" si="2"/>
      </c>
      <c r="H8" s="142">
        <f t="shared" si="2"/>
      </c>
      <c r="J8" s="144" t="s">
        <v>51</v>
      </c>
      <c r="K8" s="145">
        <v>0</v>
      </c>
      <c r="L8" s="185"/>
    </row>
    <row r="9" ht="14.25" customHeight="1">
      <c r="B9" s="138" t="s">
        <v>29</v>
      </c>
      <c r="C9" s="147">
        <f>K4</f>
      </c>
      <c r="D9" s="141">
        <f>C9/1.115-K8*12</f>
      </c>
      <c r="E9" s="141">
        <f>D9-(IF(D9 &lt;= 18200, 0, IF(D9 &lt;= 45000, (D9 - 18200) * 0.16, IF(D9 &lt;= 135000, (D9 - 45000) * 0.3 + 4288, IF(D9 &lt;= 190000, (D9 - 135000) * 0.37 + 31288 , (D9 - 190000) * 0.45 + 51667)))))
</f>
      </c>
      <c r="F9" s="141">
        <f>E9</f>
      </c>
      <c r="G9" s="160">
        <f>F9+IF(D9 &lt;= 37500, 700, IF(D9 &lt;= 45000, 700 - (D9 - 37500) * 0.05, IF(D9 &lt;= 66667, 325 - (D9 - 45000) * 0.015, 0)))</f>
      </c>
      <c r="H9" s="142">
        <f>G9-(D9*0.02)</f>
      </c>
      <c r="J9" s="163"/>
      <c r="K9" s="164"/>
    </row>
    <row r="10" ht="14.25" customHeight="1">
      <c r="B10" s="138" t="s">
        <v>99</v>
      </c>
      <c r="C10" s="140">
        <f>SUM(E10:H10)</f>
      </c>
      <c r="D10" s="167">
        <f>D5*0.115+K8*12</f>
      </c>
      <c r="E10" s="141">
        <f>(D9-18200-26800)*0.3+4288</f>
      </c>
      <c r="F10" s="141">
        <f>0</f>
      </c>
      <c r="G10" s="160">
        <f>-IF(D9 &lt;= 37500, 700, IF(D9 &lt;= 45000, 700 - (D9 - 37500) * 0.05, IF(D9 &lt;= 66667, 325 - (D9 - 45000) * 0.015, 0)))</f>
      </c>
      <c r="H10" s="142">
        <f>D9*0.02</f>
      </c>
    </row>
    <row r="11" ht="14.25" customHeight="1">
      <c r="J11" s="200" t="s">
        <v>113</v>
      </c>
      <c r="K11" s="25"/>
    </row>
    <row r="12" ht="19.5" customHeight="1">
      <c r="B12" s="201" t="s">
        <v>114</v>
      </c>
      <c r="C12" s="129"/>
      <c r="D12" s="129"/>
      <c r="E12" s="129"/>
      <c r="F12" s="129"/>
      <c r="G12" s="129"/>
      <c r="H12" s="130"/>
      <c r="J12" s="202"/>
      <c r="K12" s="17"/>
    </row>
    <row r="13" ht="14.25" customHeight="1">
      <c r="B13" s="204" t="s">
        <v>86</v>
      </c>
      <c r="C13" s="205" t="s">
        <v>118</v>
      </c>
      <c r="D13" s="129"/>
      <c r="E13" s="130"/>
      <c r="F13" s="205" t="s">
        <v>8</v>
      </c>
      <c r="G13" s="129"/>
      <c r="H13" s="130"/>
      <c r="J13" s="202"/>
      <c r="K13" s="17"/>
    </row>
    <row r="14" ht="15.75" customHeight="1">
      <c r="B14" s="208" t="s">
        <v>10</v>
      </c>
      <c r="C14" s="210">
        <f>C15/12</f>
      </c>
      <c r="D14" s="129"/>
      <c r="E14" s="129"/>
      <c r="F14" s="211">
        <f>F15/12</f>
      </c>
      <c r="G14" s="129"/>
      <c r="H14" s="130"/>
      <c r="J14" s="213"/>
      <c r="K14" s="198"/>
    </row>
    <row r="15" ht="15.75" customHeight="1">
      <c r="B15" s="208" t="s">
        <v>29</v>
      </c>
      <c r="C15" s="210">
        <f>C5-C17</f>
      </c>
      <c r="D15" s="129"/>
      <c r="E15" s="129"/>
      <c r="F15" s="210">
        <f>C9-F17</f>
      </c>
      <c r="G15" s="129"/>
      <c r="H15" s="130"/>
    </row>
    <row r="16" ht="15.75" customHeight="1">
      <c r="B16" s="208" t="s">
        <v>121</v>
      </c>
      <c r="C16" s="210">
        <f>D6*0.15</f>
      </c>
      <c r="D16" s="129"/>
      <c r="E16" s="129"/>
      <c r="F16" s="210">
        <f>D10*0.15</f>
      </c>
      <c r="G16" s="129"/>
      <c r="H16" s="130"/>
      <c r="J16" s="218" t="inlineStr">
        <is>
          <t xml:space="preserve">P1</t>
        </is>
      </c>
    </row>
    <row r="17" ht="14.25" customHeight="1">
      <c r="B17" s="208" t="s">
        <v>122</v>
      </c>
      <c r="C17" s="211">
        <f>C6+C16</f>
      </c>
      <c r="D17" s="129"/>
      <c r="E17" s="129"/>
      <c r="F17" s="211">
        <f>C10+F16</f>
      </c>
      <c r="G17" s="129"/>
      <c r="H17" s="130"/>
    </row>
    <row r="18" ht="14.25" customHeight="1">
      <c r="B18" s="219"/>
      <c r="C18" s="219"/>
      <c r="E18" s="219"/>
      <c r="F18" s="219"/>
      <c r="G18" s="219"/>
      <c r="H18" s="219"/>
    </row>
    <row r="19" ht="20.25" customHeight="1">
      <c r="B19" s="220"/>
      <c r="E19" s="37"/>
    </row>
    <row r="20" ht="15.0" customHeight="1">
      <c r="B20" s="128" t="s">
        <v>82</v>
      </c>
      <c r="C20" s="129"/>
      <c r="D20" s="129"/>
      <c r="E20" s="129"/>
      <c r="F20" s="129"/>
      <c r="G20" s="129"/>
      <c r="H20" s="130"/>
    </row>
    <row r="21" ht="15.0" customHeight="1">
      <c r="B21" s="131" t="s">
        <v>83</v>
      </c>
      <c r="C21" s="132" t="s">
        <v>84</v>
      </c>
      <c r="D21" s="133" t="s">
        <v>85</v>
      </c>
      <c r="E21" s="134" t="s">
        <v>86</v>
      </c>
      <c r="F21" s="133" t="s">
        <v>87</v>
      </c>
      <c r="G21" s="133" t="s">
        <v>88</v>
      </c>
      <c r="H21" s="132" t="s">
        <v>89</v>
      </c>
      <c r="J21" s="135" t="s">
        <v>90</v>
      </c>
      <c r="K21" s="136"/>
    </row>
    <row r="22" ht="14.25" customHeight="1">
      <c r="B22" s="138" t="s">
        <v>10</v>
      </c>
      <c r="C22" s="140">
        <f t="shared" ref="C22:H22" si="3">C23/12</f>
      </c>
      <c r="D22" s="141">
        <f t="shared" si="3"/>
      </c>
      <c r="E22" s="141">
        <f t="shared" si="3"/>
      </c>
      <c r="F22" s="141">
        <f t="shared" si="3"/>
      </c>
      <c r="G22" s="141">
        <f t="shared" si="3"/>
      </c>
      <c r="H22" s="142">
        <f t="shared" si="3"/>
      </c>
      <c r="I22" s="137"/>
      <c r="J22" s="144" t="s">
        <v>92</v>
      </c>
      <c r="K22" s="145">
        <v>70000</v>
      </c>
    </row>
    <row r="23" ht="14.25" customHeight="1">
      <c r="B23" s="138" t="s">
        <v>29</v>
      </c>
      <c r="C23" s="147">
        <f>K22</f>
      </c>
      <c r="D23" s="141">
        <f>C23/1.115</f>
      </c>
      <c r="E23" s="141">
        <f>D23-(IF(D23 &lt;= 18200, 0, IF(D23 &lt;= 45000, (D23 - 18200) * 0.16, IF(D23 &lt;= 135000, (D23 - 45000) * 0.3 + 4288, IF(D23 &lt;= 190000, (D23 - 135000) * 0.37 + 31288, (D23 - 190000) * 0.45 + 51638)))))
</f>
      </c>
      <c r="F23" s="141">
        <f>E23-ROUND(D23*0.035,0)</f>
      </c>
      <c r="G23" s="160">
        <f>F23+IF(D23 &lt;= 37500, 700, IF(D23 &lt;= 45000, 700 - (D23 - 37500) * 0.05, IF(D23 &lt;= 66667, 325 - (D23 - 45000) * 0.015, 0)))</f>
      </c>
      <c r="H23" s="142">
        <f>G23-(D23*0.02)</f>
      </c>
      <c r="I23" s="137"/>
      <c r="J23" s="163"/>
      <c r="K23" s="164"/>
    </row>
    <row r="24" ht="14.25" customHeight="1">
      <c r="B24" s="138" t="s">
        <v>99</v>
      </c>
      <c r="C24" s="166">
        <f>SUM(E24:H24)</f>
      </c>
      <c r="D24" s="167">
        <f>D23*0.115</f>
      </c>
      <c r="E24" s="141">
        <f>D23-E23</f>
      </c>
      <c r="F24" s="141">
        <f>ROUND(D23*0.035,0)</f>
      </c>
      <c r="G24" s="160">
        <f>-IF(D23 &lt;= 37500, 700, IF(D23 &lt;= 45000, 700 - (D23 - 37500) * 0.05, IF(D23 &lt;= 66667, 325 - (D23 - 45000) * 0.015, 0)))</f>
      </c>
      <c r="H24" s="142">
        <f>D23*0.02</f>
      </c>
      <c r="K24" s="178"/>
    </row>
    <row r="25" ht="14.25" customHeight="1">
      <c r="B25" s="128" t="s">
        <v>104</v>
      </c>
      <c r="C25" s="129"/>
      <c r="D25" s="129"/>
      <c r="E25" s="129"/>
      <c r="F25" s="129"/>
      <c r="G25" s="129"/>
      <c r="H25" s="130"/>
      <c r="J25" s="63" t="s">
        <v>105</v>
      </c>
      <c r="K25" s="65"/>
    </row>
    <row r="26" ht="14.25" customHeight="1">
      <c r="B26" s="138" t="s">
        <v>10</v>
      </c>
      <c r="C26" s="140">
        <f>C27/12</f>
      </c>
      <c r="D26" s="141">
        <f>C26/1.115-(K26)</f>
      </c>
      <c r="E26" s="141">
        <f t="shared" ref="E26:H26" si="4">E27/12</f>
      </c>
      <c r="F26" s="141">
        <f t="shared" si="4"/>
      </c>
      <c r="G26" s="141">
        <f t="shared" si="4"/>
      </c>
      <c r="H26" s="142">
        <f t="shared" si="4"/>
      </c>
      <c r="J26" s="144" t="s">
        <v>51</v>
      </c>
      <c r="K26" s="145">
        <v>0</v>
      </c>
    </row>
    <row r="27" ht="14.25" customHeight="1">
      <c r="B27" s="138" t="s">
        <v>29</v>
      </c>
      <c r="C27" s="147">
        <f>K22</f>
      </c>
      <c r="D27" s="141">
        <f>C27/1.115-K26*12</f>
      </c>
      <c r="E27" s="141">
        <f>D27-(IF(D27 &lt;= 18200, 0, IF(D27 &lt;= 45000, (D27 - 18200) * 0.16, IF(D27 &lt;= 135000, (D27 - 45000) * 0.3 + 4288, IF(D27 &lt;= 190000, (D27 - 135000) * 0.37 + 31288, (D27 - 190000) * 0.45 + 51638)))))
</f>
      </c>
      <c r="F27" s="141">
        <f>E27-ROUND(D23*0.035,0)</f>
      </c>
      <c r="G27" s="160">
        <f>F27+IF(D27 &lt;= 37500, 700, IF(D27 &lt;= 45000, 700 - (D27 - 37500) * 0.05, IF(D27 &lt;= 66667, 325 - (D27 - 45000) * 0.015, 0)))</f>
      </c>
      <c r="H27" s="142">
        <f>G27-(D27*0.02)</f>
      </c>
      <c r="J27" s="163"/>
      <c r="K27" s="164"/>
    </row>
    <row r="28" ht="14.25" customHeight="1">
      <c r="B28" s="138" t="s">
        <v>99</v>
      </c>
      <c r="C28" s="140">
        <f>SUM(E28:H28)</f>
      </c>
      <c r="D28" s="167">
        <f>D23*0.115+K26*12</f>
      </c>
      <c r="E28" s="141">
        <f>(D27-18200-26800)*0.3+4288</f>
      </c>
      <c r="F28" s="141">
        <f>ROUND(D23*0.035,0)</f>
      </c>
      <c r="G28" s="160">
        <f>-IF(D27 &lt;= 37500, 700, IF(D27 &lt;= 45000, 700 - (D27 - 37500) * 0.05, IF(D27 &lt;= 66667, 325 - (D27 - 45000) * 0.015, 0)))</f>
      </c>
      <c r="H28" s="142">
        <f>D27*0.02</f>
      </c>
    </row>
    <row r="29" ht="14.25" customHeight="1">
      <c r="J29" s="200" t="s">
        <v>113</v>
      </c>
      <c r="K29" s="25"/>
    </row>
    <row r="30" ht="14.25" customHeight="1">
      <c r="B30" s="201" t="s">
        <v>114</v>
      </c>
      <c r="C30" s="129"/>
      <c r="D30" s="129"/>
      <c r="E30" s="129"/>
      <c r="F30" s="129"/>
      <c r="G30" s="129"/>
      <c r="H30" s="130"/>
      <c r="J30" s="202"/>
      <c r="K30" s="17"/>
    </row>
    <row r="31" ht="14.25" customHeight="1">
      <c r="B31" s="204" t="s">
        <v>86</v>
      </c>
      <c r="C31" s="205" t="s">
        <v>118</v>
      </c>
      <c r="D31" s="129"/>
      <c r="E31" s="130"/>
      <c r="F31" s="205" t="s">
        <v>8</v>
      </c>
      <c r="G31" s="129"/>
      <c r="H31" s="130"/>
      <c r="J31" s="202"/>
      <c r="K31" s="17"/>
    </row>
    <row r="32" ht="14.25" customHeight="1">
      <c r="B32" s="208" t="s">
        <v>10</v>
      </c>
      <c r="C32" s="210">
        <f>C33/12</f>
      </c>
      <c r="D32" s="129"/>
      <c r="E32" s="129"/>
      <c r="F32" s="211">
        <f>F33/12</f>
      </c>
      <c r="G32" s="129"/>
      <c r="H32" s="130"/>
      <c r="J32" s="213"/>
      <c r="K32" s="198"/>
    </row>
    <row r="33" ht="14.25" customHeight="1">
      <c r="B33" s="208" t="s">
        <v>29</v>
      </c>
      <c r="C33" s="210">
        <f>C23-C35</f>
      </c>
      <c r="D33" s="129"/>
      <c r="E33" s="129"/>
      <c r="F33" s="210">
        <f>C27-F35</f>
      </c>
      <c r="G33" s="129"/>
      <c r="H33" s="130"/>
    </row>
    <row r="34" ht="14.25" customHeight="1">
      <c r="B34" s="208" t="s">
        <v>121</v>
      </c>
      <c r="C34" s="210">
        <f>D24*0.15</f>
      </c>
      <c r="D34" s="129"/>
      <c r="E34" s="129"/>
      <c r="F34" s="210">
        <f>D28*0.15</f>
      </c>
      <c r="G34" s="129"/>
      <c r="H34" s="130"/>
      <c r="J34" s="225" t="inlineStr">
        <is>
          <t xml:space="preserve">P2</t>
        </is>
      </c>
    </row>
    <row r="35" ht="14.25" customHeight="1">
      <c r="B35" s="208" t="s">
        <v>122</v>
      </c>
      <c r="C35" s="211">
        <f>C24+C34</f>
      </c>
      <c r="D35" s="129"/>
      <c r="E35" s="129"/>
      <c r="F35" s="211">
        <f>C28+F34</f>
      </c>
      <c r="G35" s="129"/>
      <c r="H35" s="1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2">
    <mergeCell ref="B2:H2"/>
    <mergeCell ref="J3:K3"/>
    <mergeCell ref="J4:J5"/>
    <mergeCell ref="K4:K5"/>
    <mergeCell ref="B7:H7"/>
    <mergeCell ref="J7:K7"/>
    <mergeCell ref="J8:J9"/>
    <mergeCell ref="B12:H12"/>
    <mergeCell ref="C13:E13"/>
    <mergeCell ref="F13:H13"/>
    <mergeCell ref="C14:E14"/>
    <mergeCell ref="F14:H14"/>
    <mergeCell ref="C15:E15"/>
    <mergeCell ref="F15:H15"/>
    <mergeCell ref="J26:J27"/>
    <mergeCell ref="K26:K27"/>
    <mergeCell ref="J29:K32"/>
    <mergeCell ref="J34:K35"/>
    <mergeCell ref="K8:K9"/>
    <mergeCell ref="J11:K14"/>
    <mergeCell ref="J16:K17"/>
    <mergeCell ref="J21:K21"/>
    <mergeCell ref="J22:J23"/>
    <mergeCell ref="K22:K23"/>
    <mergeCell ref="J25:K25"/>
    <mergeCell ref="C16:E16"/>
    <mergeCell ref="F16:H16"/>
    <mergeCell ref="C17:E17"/>
    <mergeCell ref="F17:H17"/>
    <mergeCell ref="B20:H20"/>
    <mergeCell ref="B25:H25"/>
    <mergeCell ref="B30:H30"/>
    <mergeCell ref="C34:E34"/>
    <mergeCell ref="C35:E35"/>
    <mergeCell ref="C31:E31"/>
    <mergeCell ref="F31:H31"/>
    <mergeCell ref="C32:E32"/>
    <mergeCell ref="F32:H32"/>
    <mergeCell ref="C33:E33"/>
    <mergeCell ref="F33:H33"/>
    <mergeCell ref="F34:H34"/>
    <mergeCell ref="F35:H3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3" width="15.86"/>
    <col customWidth="1" min="4" max="4" width="15.14"/>
    <col customWidth="1" min="6" max="6" width="3.14"/>
  </cols>
  <sheetData>
    <row r="1">
      <c r="K1" s="226"/>
    </row>
    <row r="2" ht="19.5" customHeight="1">
      <c r="B2" s="227" t="s">
        <v>124</v>
      </c>
      <c r="D2" s="228" t="s">
        <v>125</v>
      </c>
      <c r="G2" s="228" t="s">
        <v>126</v>
      </c>
      <c r="I2" s="229"/>
    </row>
    <row r="3" ht="17.25" customHeight="1">
      <c r="B3" s="230">
        <v>600000</v>
      </c>
      <c r="D3" s="231" t="s">
        <v>127</v>
      </c>
      <c r="E3" s="237">
        <f>IF(D13,IF(B3&lt;=600000, 0,
   IF(B3&lt;=750000, (B3-600000)/150000*(2870 + (750000-130000)*0.06) * 0.95,
   IF(B3&lt;=25000, B3*0.014 * 0.95,
   IF(B3&lt;=130000, (350 + (B3-25000)*0.024) * 0.95,
   IF(B3&lt;=960000, (2870 + (B3-130000)*0.06) * 0.95,
   B3*0.055 * 0.95)))))
,IF(B3&lt;=25000, B3*0.014, IF(B3&lt;=130000, 350 + (B3-25000)*0.024, IF(B3&lt;=960000, 2870 + (B3-130000)*0.06, B3*0.055))))</f>
      </c>
      <c r="G3" s="237">
        <f>SUM('Advanced Savings'!G12,'Advanced Savings'!G29)</f>
      </c>
      <c r="I3" s="240"/>
    </row>
    <row r="4" ht="17.25" customHeight="1">
      <c r="B4" s="231" t="s">
        <v>139</v>
      </c>
      <c r="C4" s="231" t="s">
        <v>141</v>
      </c>
      <c r="D4" s="231" t="s">
        <v>142</v>
      </c>
      <c r="E4" s="237">
        <v>121.4</v>
      </c>
      <c r="G4" s="228" t="s">
        <v>143</v>
      </c>
    </row>
    <row r="5" ht="17.25" customHeight="1">
      <c r="B5" s="237">
        <f>B3*0.05</f>
      </c>
      <c r="C5" s="237">
        <f>B3*0</f>
      </c>
      <c r="D5" s="231" t="s">
        <v>144</v>
      </c>
      <c r="E5" s="237">
        <f>102.4 + CEILING(B3/1000, 1) * 2.34
</f>
      </c>
      <c r="G5" s="237">
        <f>SUM('Advanced Savings'!G14,'Advanced Savings'!G31)*0.85</f>
      </c>
    </row>
    <row r="6" ht="17.25" customHeight="1">
      <c r="B6" s="228" t="s">
        <v>145</v>
      </c>
      <c r="D6" s="231" t="s">
        <v>146</v>
      </c>
      <c r="E6" s="237">
        <v>36.2</v>
      </c>
      <c r="G6" s="227" t="s">
        <v>147</v>
      </c>
    </row>
    <row r="7">
      <c r="B7" s="237">
        <f>B5+C5</f>
      </c>
      <c r="D7" s="231" t="s">
        <v>149</v>
      </c>
      <c r="E7" s="237">
        <v>2000</v>
      </c>
      <c r="G7" s="230">
        <v>0</v>
      </c>
    </row>
    <row r="8">
      <c r="B8" s="228" t="s">
        <v>150</v>
      </c>
      <c r="D8" s="228" t="s">
        <v>151</v>
      </c>
      <c r="G8" s="227" t="s">
        <v>152</v>
      </c>
    </row>
    <row r="9" ht="16.5" customHeight="1">
      <c r="B9" s="237">
        <f>B3-B7</f>
      </c>
      <c r="D9" s="237">
        <f>SUM(E3:E7,B5)</f>
      </c>
      <c r="G9" s="230">
        <v>0</v>
      </c>
    </row>
    <row r="10" ht="16.5" customHeight="1">
      <c r="B10" s="228" t="s">
        <v>153</v>
      </c>
      <c r="D10" s="228">
        <f>IF(D11&lt;0,"Missing Liquid Cash","Extra Cash")</f>
      </c>
      <c r="G10" s="227" t="s">
        <v>154</v>
      </c>
    </row>
    <row r="11" ht="16.5" customHeight="1">
      <c r="B11" s="243">
        <f>B9/B3</f>
      </c>
      <c r="D11" s="237">
        <f>B16-D9</f>
      </c>
      <c r="G11" s="230">
        <v>0</v>
      </c>
    </row>
    <row r="12">
      <c r="B12" s="228" t="s">
        <v>155</v>
      </c>
      <c r="D12" s="227" t="s">
        <v>156</v>
      </c>
      <c r="G12" s="227" t="s">
        <v>157</v>
      </c>
    </row>
    <row r="13">
      <c r="B13" s="237">
        <f>PMT(D17 / 12,D15 * 12, -B9)
</f>
      </c>
      <c r="D13" s="244" t="b">
        <v>1</v>
      </c>
      <c r="G13" s="230">
        <v>0</v>
      </c>
    </row>
    <row r="14">
      <c r="B14" s="245" t="s">
        <v>158</v>
      </c>
      <c r="D14" s="227" t="s">
        <v>159</v>
      </c>
      <c r="G14" s="245" t="s">
        <v>160</v>
      </c>
    </row>
    <row r="15">
      <c r="D15" s="246">
        <v>30</v>
      </c>
    </row>
    <row r="16">
      <c r="B16" s="247">
        <f>G16-G13</f>
      </c>
      <c r="D16" s="227" t="s">
        <v>162</v>
      </c>
      <c r="G16" s="247">
        <f>SUM(G11,G9,G7,G5,G3)</f>
      </c>
    </row>
    <row r="17">
      <c r="D17" s="244">
        <v>0.0549</v>
      </c>
    </row>
    <row r="19">
      <c r="C19" s="248" t="s">
        <v>163</v>
      </c>
      <c r="D19" s="249"/>
    </row>
    <row r="20">
      <c r="C20" s="250"/>
      <c r="D20" s="251"/>
    </row>
    <row r="21">
      <c r="C21" s="250"/>
      <c r="D21" s="251"/>
    </row>
    <row r="22">
      <c r="C22" s="252"/>
      <c r="D22" s="253"/>
    </row>
  </sheetData>
  <mergeCells count="38">
    <mergeCell ref="G5:H5"/>
    <mergeCell ref="G6:H6"/>
    <mergeCell ref="B2:C2"/>
    <mergeCell ref="D2:E2"/>
    <mergeCell ref="G2:H2"/>
    <mergeCell ref="B3:C3"/>
    <mergeCell ref="G3:H3"/>
    <mergeCell ref="G4:H4"/>
    <mergeCell ref="B6:C6"/>
    <mergeCell ref="B7:C7"/>
    <mergeCell ref="G7:H7"/>
    <mergeCell ref="B8:C8"/>
    <mergeCell ref="D8:E8"/>
    <mergeCell ref="G8:H8"/>
    <mergeCell ref="D9:E9"/>
    <mergeCell ref="G9:H9"/>
    <mergeCell ref="B9:C9"/>
    <mergeCell ref="B10:C10"/>
    <mergeCell ref="D10:E10"/>
    <mergeCell ref="G10:H10"/>
    <mergeCell ref="B11:C11"/>
    <mergeCell ref="D11:E11"/>
    <mergeCell ref="G11:H11"/>
    <mergeCell ref="G13:H13"/>
    <mergeCell ref="G14:H15"/>
    <mergeCell ref="G16:H17"/>
    <mergeCell ref="B14:C15"/>
    <mergeCell ref="B16:C17"/>
    <mergeCell ref="D16:E16"/>
    <mergeCell ref="D17:E17"/>
    <mergeCell ref="C19:D22"/>
    <mergeCell ref="B12:C12"/>
    <mergeCell ref="D12:E12"/>
    <mergeCell ref="G12:H12"/>
    <mergeCell ref="B13:C13"/>
    <mergeCell ref="D13:E13"/>
    <mergeCell ref="D14:E14"/>
    <mergeCell ref="D15:E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1F1F"/>
    <outlinePr summaryBelow="0" summaryRight="0"/>
  </sheetPr>
  <sheetViews>
    <sheetView workbookViewId="0"/>
  </sheetViews>
  <sheetFormatPr customHeight="1" defaultColWidth="14.43" defaultRowHeight="15.0"/>
  <sheetData>
    <row r="1">
      <c r="B1" s="232">
        <f>IFERROR(__xludf.DUMMYFUNCTION("IMPORTRANGE(""https://docs.google.com/spreadsheets/d/1A2a_CIOEK-POlkK616JVZN4ouhsUMkdiZXm1KiJuqJQ/edit#gid=814241220"",""Fees - High Growth!1:40"")"),"Fees - High Growth")</f>
      </c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>
      <c r="B4" s="233">
        <f>IFERROR(__xludf.DUMMYFUNCTION("""COMPUTED_VALUE"""),"Super fund")</f>
      </c>
      <c r="C4" s="233"/>
      <c r="D4" s="233">
        <f>IFERROR(__xludf.DUMMYFUNCTION("""COMPUTED_VALUE"""),"Admin fees")</f>
      </c>
      <c r="E4" s="233"/>
      <c r="F4" s="233"/>
      <c r="G4" s="233">
        <f>IFERROR(__xludf.DUMMYFUNCTION("""COMPUTED_VALUE"""),"Investment fees")</f>
      </c>
      <c r="H4" s="233"/>
      <c r="I4" s="233">
        <f>IFERROR(__xludf.DUMMYFUNCTION("""COMPUTED_VALUE"""),"Total fees for a given super balance")</f>
      </c>
      <c r="J4" s="233"/>
      <c r="K4" s="233"/>
      <c r="L4" s="233"/>
      <c r="M4" s="233"/>
      <c r="N4" s="233">
        <f>IFERROR(__xludf.DUMMYFUNCTION("""COMPUTED_VALUE"""),"Equity characteristic")</f>
      </c>
      <c r="O4" s="233">
        <f>IFERROR(__xludf.DUMMYFUNCTION("""COMPUTED_VALUE"""),"Other information")</f>
      </c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>
      <c r="B5" s="233">
        <f>IFERROR(__xludf.DUMMYFUNCTION("""COMPUTED_VALUE"""),"Name")</f>
      </c>
      <c r="C5" s="233">
        <f>IFERROR(__xludf.DUMMYFUNCTION("""COMPUTED_VALUE"""),"Type")</f>
      </c>
      <c r="D5" s="234">
        <f>IFERROR(__xludf.DUMMYFUNCTION("""COMPUTED_VALUE"""),"Fixed p.a")</f>
      </c>
      <c r="E5" s="233">
        <f>IFERROR(__xludf.DUMMYFUNCTION("""COMPUTED_VALUE"""),"% of AUM")</f>
      </c>
      <c r="F5" s="234">
        <f>IFERROR(__xludf.DUMMYFUNCTION("""COMPUTED_VALUE"""),"Admin fee cap")</f>
      </c>
      <c r="G5" s="233">
        <f>IFERROR(__xludf.DUMMYFUNCTION("""COMPUTED_VALUE"""),"High Growth")</f>
      </c>
      <c r="H5" s="233">
        <f>IFERROR(__xludf.DUMMYFUNCTION("""COMPUTED_VALUE"""),"Buy/sell spread")</f>
      </c>
      <c r="I5" s="236">
        <f>IFERROR(__xludf.DUMMYFUNCTION("""COMPUTED_VALUE"""),10000.0)</f>
      </c>
      <c r="J5" s="236">
        <f>IFERROR(__xludf.DUMMYFUNCTION("""COMPUTED_VALUE"""),50000.0)</f>
      </c>
      <c r="K5" s="236">
        <f>IFERROR(__xludf.DUMMYFUNCTION("""COMPUTED_VALUE"""),100000.0)</f>
      </c>
      <c r="L5" s="236">
        <f>IFERROR(__xludf.DUMMYFUNCTION("""COMPUTED_VALUE"""),250000.0)</f>
      </c>
      <c r="M5" s="236">
        <f>IFERROR(__xludf.DUMMYFUNCTION("""COMPUTED_VALUE"""),500000.0)</f>
      </c>
      <c r="N5" s="233">
        <f>IFERROR(__xludf.DUMMYFUNCTION("""COMPUTED_VALUE"""),"Active/Passive?")</f>
      </c>
      <c r="O5" s="233">
        <f>IFERROR(__xludf.DUMMYFUNCTION("""COMPUTED_VALUE"""),"Fee Links")</f>
      </c>
      <c r="P5" s="233">
        <f>IFERROR(__xludf.DUMMYFUNCTION("""COMPUTED_VALUE"""),"As at:")</f>
      </c>
      <c r="Q5" s="233">
        <f>IFERROR(__xludf.DUMMYFUNCTION("""COMPUTED_VALUE"""),"Notes")</f>
      </c>
      <c r="R5" s="233"/>
      <c r="S5" s="233"/>
      <c r="T5" s="233"/>
      <c r="U5" s="233"/>
      <c r="V5" s="233"/>
      <c r="W5" s="233"/>
      <c r="X5" s="233"/>
      <c r="Y5" s="233"/>
      <c r="Z5" s="233"/>
    </row>
    <row r="6">
      <c r="B6" s="233">
        <f>IFERROR(__xludf.DUMMYFUNCTION("""COMPUTED_VALUE"""),"Aware Super")</f>
      </c>
      <c r="C6" s="233">
        <f>IFERROR(__xludf.DUMMYFUNCTION("""COMPUTED_VALUE"""),"Industry")</f>
      </c>
      <c r="D6" s="236">
        <f>IFERROR(__xludf.DUMMYFUNCTION("""COMPUTED_VALUE"""),52.0)</f>
      </c>
      <c r="E6" s="235">
        <f>IFERROR(__xludf.DUMMYFUNCTION("""COMPUTED_VALUE"""),0.0015)</f>
      </c>
      <c r="F6" s="236">
        <f>IFERROR(__xludf.DUMMYFUNCTION("""COMPUTED_VALUE"""),750.0)</f>
      </c>
      <c r="G6" s="235">
        <f>IFERROR(__xludf.DUMMYFUNCTION("""COMPUTED_VALUE"""),0.0078)</f>
      </c>
      <c r="H6" s="233">
        <f>IFERROR(__xludf.DUMMYFUNCTION("""COMPUTED_VALUE"""),"Nil")</f>
      </c>
      <c r="I6" s="236">
        <f>IFERROR(__xludf.DUMMYFUNCTION("""COMPUTED_VALUE"""),145.0)</f>
      </c>
      <c r="J6" s="236">
        <f>IFERROR(__xludf.DUMMYFUNCTION("""COMPUTED_VALUE"""),517.0)</f>
      </c>
      <c r="K6" s="236">
        <f>IFERROR(__xludf.DUMMYFUNCTION("""COMPUTED_VALUE"""),982.0)</f>
      </c>
      <c r="L6" s="236">
        <f>IFERROR(__xludf.DUMMYFUNCTION("""COMPUTED_VALUE"""),2377.0)</f>
      </c>
      <c r="M6" s="236">
        <f>IFERROR(__xludf.DUMMYFUNCTION("""COMPUTED_VALUE"""),4702.0)</f>
      </c>
      <c r="N6" s="233">
        <f>IFERROR(__xludf.DUMMYFUNCTION("""COMPUTED_VALUE"""),"Active")</f>
      </c>
      <c r="O6" s="241">
        <f>IFERROR(__xludf.DUMMYFUNCTION("""COMPUTED_VALUE"""),"Aware")</f>
      </c>
      <c r="P6" s="242">
        <f>IFERROR(__xludf.DUMMYFUNCTION("""COMPUTED_VALUE"""),45057.0)</f>
      </c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>
      <c r="B7" s="233">
        <f>IFERROR(__xludf.DUMMYFUNCTION("""COMPUTED_VALUE"""),"Aware Super")</f>
      </c>
      <c r="C7" s="233">
        <f>IFERROR(__xludf.DUMMYFUNCTION("""COMPUTED_VALUE"""),"Industry")</f>
      </c>
      <c r="D7" s="236">
        <f>IFERROR(__xludf.DUMMYFUNCTION("""COMPUTED_VALUE"""),52.0)</f>
      </c>
      <c r="E7" s="235">
        <f>IFERROR(__xludf.DUMMYFUNCTION("""COMPUTED_VALUE"""),0.0015)</f>
      </c>
      <c r="F7" s="236">
        <f>IFERROR(__xludf.DUMMYFUNCTION("""COMPUTED_VALUE"""),750.0)</f>
      </c>
      <c r="G7" s="235">
        <f>IFERROR(__xludf.DUMMYFUNCTION("""COMPUTED_VALUE"""),0.001)</f>
      </c>
      <c r="H7" s="233">
        <f>IFERROR(__xludf.DUMMYFUNCTION("""COMPUTED_VALUE"""),"Nil")</f>
      </c>
      <c r="I7" s="236">
        <f>IFERROR(__xludf.DUMMYFUNCTION("""COMPUTED_VALUE"""),77.0)</f>
      </c>
      <c r="J7" s="236">
        <f>IFERROR(__xludf.DUMMYFUNCTION("""COMPUTED_VALUE"""),177.0)</f>
      </c>
      <c r="K7" s="236">
        <f>IFERROR(__xludf.DUMMYFUNCTION("""COMPUTED_VALUE"""),302.0)</f>
      </c>
      <c r="L7" s="236">
        <f>IFERROR(__xludf.DUMMYFUNCTION("""COMPUTED_VALUE"""),677.0)</f>
      </c>
      <c r="M7" s="236">
        <f>IFERROR(__xludf.DUMMYFUNCTION("""COMPUTED_VALUE"""),1302.0)</f>
      </c>
      <c r="N7" s="233">
        <f>IFERROR(__xludf.DUMMYFUNCTION("""COMPUTED_VALUE"""),"Passive")</f>
      </c>
      <c r="O7" s="241">
        <f>IFERROR(__xludf.DUMMYFUNCTION("""COMPUTED_VALUE"""),"Aware")</f>
      </c>
      <c r="P7" s="242">
        <f>IFERROR(__xludf.DUMMYFUNCTION("""COMPUTED_VALUE"""),44742.0)</f>
      </c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>
      <c r="B8" s="233">
        <f>IFERROR(__xludf.DUMMYFUNCTION("""COMPUTED_VALUE"""),"ART")</f>
      </c>
      <c r="C8" s="233">
        <f>IFERROR(__xludf.DUMMYFUNCTION("""COMPUTED_VALUE"""),"Industry")</f>
      </c>
      <c r="D8" s="236">
        <f>IFERROR(__xludf.DUMMYFUNCTION("""COMPUTED_VALUE"""),62.4)</f>
      </c>
      <c r="E8" s="235">
        <f>IFERROR(__xludf.DUMMYFUNCTION("""COMPUTED_VALUE"""),0.001)</f>
      </c>
      <c r="F8" s="236">
        <f>IFERROR(__xludf.DUMMYFUNCTION("""COMPUTED_VALUE"""),800.0)</f>
      </c>
      <c r="G8" s="235">
        <f>IFERROR(__xludf.DUMMYFUNCTION("""COMPUTED_VALUE"""),0.0088)</f>
      </c>
      <c r="H8" s="233">
        <f>IFERROR(__xludf.DUMMYFUNCTION("""COMPUTED_VALUE"""),"Nil")</f>
      </c>
      <c r="I8" s="236">
        <f>IFERROR(__xludf.DUMMYFUNCTION("""COMPUTED_VALUE"""),160.4)</f>
      </c>
      <c r="J8" s="236">
        <f>IFERROR(__xludf.DUMMYFUNCTION("""COMPUTED_VALUE"""),552.4)</f>
      </c>
      <c r="K8" s="236">
        <f>IFERROR(__xludf.DUMMYFUNCTION("""COMPUTED_VALUE"""),1042.4)</f>
      </c>
      <c r="L8" s="236">
        <f>IFERROR(__xludf.DUMMYFUNCTION("""COMPUTED_VALUE"""),2512.4)</f>
      </c>
      <c r="M8" s="236">
        <f>IFERROR(__xludf.DUMMYFUNCTION("""COMPUTED_VALUE"""),4962.4)</f>
      </c>
      <c r="N8" s="233">
        <f>IFERROR(__xludf.DUMMYFUNCTION("""COMPUTED_VALUE"""),"Active")</f>
      </c>
      <c r="O8" s="241">
        <f>IFERROR(__xludf.DUMMYFUNCTION("""COMPUTED_VALUE"""),"ART")</f>
      </c>
      <c r="P8" s="242">
        <f>IFERROR(__xludf.DUMMYFUNCTION("""COMPUTED_VALUE"""),45107.0)</f>
      </c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>
      <c r="B9" s="233">
        <f>IFERROR(__xludf.DUMMYFUNCTION("""COMPUTED_VALUE"""),"Qsuper")</f>
      </c>
      <c r="C9" s="233">
        <f>IFERROR(__xludf.DUMMYFUNCTION("""COMPUTED_VALUE"""),"Public sector")</f>
      </c>
      <c r="D9" s="236">
        <f>IFERROR(__xludf.DUMMYFUNCTION("""COMPUTED_VALUE"""),0.0)</f>
      </c>
      <c r="E9" s="235">
        <f>IFERROR(__xludf.DUMMYFUNCTION("""COMPUTED_VALUE"""),0.0015)</f>
      </c>
      <c r="F9" s="236">
        <f>IFERROR(__xludf.DUMMYFUNCTION("""COMPUTED_VALUE"""),875.0)</f>
      </c>
      <c r="G9" s="235">
        <f>IFERROR(__xludf.DUMMYFUNCTION("""COMPUTED_VALUE"""),0.007)</f>
      </c>
      <c r="H9" s="233">
        <f>IFERROR(__xludf.DUMMYFUNCTION("""COMPUTED_VALUE"""),"Nil")</f>
      </c>
      <c r="I9" s="236">
        <f>IFERROR(__xludf.DUMMYFUNCTION("""COMPUTED_VALUE"""),85.0)</f>
      </c>
      <c r="J9" s="236">
        <f>IFERROR(__xludf.DUMMYFUNCTION("""COMPUTED_VALUE"""),425.0)</f>
      </c>
      <c r="K9" s="236">
        <f>IFERROR(__xludf.DUMMYFUNCTION("""COMPUTED_VALUE"""),850.0)</f>
      </c>
      <c r="L9" s="236">
        <f>IFERROR(__xludf.DUMMYFUNCTION("""COMPUTED_VALUE"""),2125.0)</f>
      </c>
      <c r="M9" s="236">
        <f>IFERROR(__xludf.DUMMYFUNCTION("""COMPUTED_VALUE"""),4250.0)</f>
      </c>
      <c r="N9" s="233">
        <f>IFERROR(__xludf.DUMMYFUNCTION("""COMPUTED_VALUE"""),"Active")</f>
      </c>
      <c r="O9" s="241">
        <f>IFERROR(__xludf.DUMMYFUNCTION("""COMPUTED_VALUE"""),"Qsuper")</f>
      </c>
      <c r="P9" s="242">
        <f>IFERROR(__xludf.DUMMYFUNCTION("""COMPUTED_VALUE"""),45107.0)</f>
      </c>
      <c r="Q9" s="233">
        <f>IFERROR(__xludf.DUMMYFUNCTION("""COMPUTED_VALUE"""),"* Only open for people working for the QLD Government, or if you're a spouse or child (under 25) of a Qsuper member
* Excludes companies involved in manufacturing cigarettes and other tobacco products, cluster munitions, or landmines")</f>
      </c>
      <c r="R9" s="233"/>
      <c r="S9" s="233"/>
      <c r="T9" s="233"/>
      <c r="U9" s="233"/>
      <c r="V9" s="233"/>
      <c r="W9" s="233"/>
      <c r="X9" s="233"/>
      <c r="Y9" s="233"/>
      <c r="Z9" s="233"/>
    </row>
    <row r="10">
      <c r="B10" s="233">
        <f>IFERROR(__xludf.DUMMYFUNCTION("""COMPUTED_VALUE"""),"Hostplus")</f>
      </c>
      <c r="C10" s="233">
        <f>IFERROR(__xludf.DUMMYFUNCTION("""COMPUTED_VALUE"""),"Industry")</f>
      </c>
      <c r="D10" s="236">
        <f>IFERROR(__xludf.DUMMYFUNCTION("""COMPUTED_VALUE"""),78.0)</f>
      </c>
      <c r="E10" s="235">
        <f>IFERROR(__xludf.DUMMYFUNCTION("""COMPUTED_VALUE"""),1.65E-4)</f>
      </c>
      <c r="F10" s="236">
        <f>IFERROR(__xludf.DUMMYFUNCTION("""COMPUTED_VALUE"""),"NA")</f>
      </c>
      <c r="G10" s="235">
        <f>IFERROR(__xludf.DUMMYFUNCTION("""COMPUTED_VALUE"""),0.0086)</f>
      </c>
      <c r="H10" s="233">
        <f>IFERROR(__xludf.DUMMYFUNCTION("""COMPUTED_VALUE"""),"Nil")</f>
      </c>
      <c r="I10" s="236">
        <f>IFERROR(__xludf.DUMMYFUNCTION("""COMPUTED_VALUE"""),165.65)</f>
      </c>
      <c r="J10" s="236">
        <f>IFERROR(__xludf.DUMMYFUNCTION("""COMPUTED_VALUE"""),516.25)</f>
      </c>
      <c r="K10" s="236">
        <f>IFERROR(__xludf.DUMMYFUNCTION("""COMPUTED_VALUE"""),954.5)</f>
      </c>
      <c r="L10" s="236">
        <f>IFERROR(__xludf.DUMMYFUNCTION("""COMPUTED_VALUE"""),2269.25)</f>
      </c>
      <c r="M10" s="236">
        <f>IFERROR(__xludf.DUMMYFUNCTION("""COMPUTED_VALUE"""),4460.5)</f>
      </c>
      <c r="N10" s="233">
        <f>IFERROR(__xludf.DUMMYFUNCTION("""COMPUTED_VALUE"""),"Active")</f>
      </c>
      <c r="O10" s="241">
        <f>IFERROR(__xludf.DUMMYFUNCTION("""COMPUTED_VALUE"""),"Hostplus")</f>
      </c>
      <c r="P10" s="242">
        <f>IFERROR(__xludf.DUMMYFUNCTION("""COMPUTED_VALUE"""),45107.0)</f>
      </c>
      <c r="Q10" s="233">
        <f>IFERROR(__xludf.DUMMYFUNCTION("""COMPUTED_VALUE"""),"ESG Integration")</f>
      </c>
      <c r="R10" s="233"/>
      <c r="S10" s="233"/>
      <c r="T10" s="233"/>
      <c r="U10" s="233"/>
      <c r="V10" s="233"/>
      <c r="W10" s="233"/>
      <c r="X10" s="233"/>
      <c r="Y10" s="233"/>
      <c r="Z10" s="233"/>
    </row>
    <row r="11">
      <c r="B11" s="233">
        <f>IFERROR(__xludf.DUMMYFUNCTION("""COMPUTED_VALUE"""),"Rest")</f>
      </c>
      <c r="C11" s="233">
        <f>IFERROR(__xludf.DUMMYFUNCTION("""COMPUTED_VALUE"""),"Industry")</f>
      </c>
      <c r="D11" s="236">
        <f>IFERROR(__xludf.DUMMYFUNCTION("""COMPUTED_VALUE"""),78.0)</f>
      </c>
      <c r="E11" s="235">
        <f>IFERROR(__xludf.DUMMYFUNCTION("""COMPUTED_VALUE"""),0.001)</f>
      </c>
      <c r="F11" s="236">
        <f>IFERROR(__xludf.DUMMYFUNCTION("""COMPUTED_VALUE"""),300.0)</f>
      </c>
      <c r="G11" s="235">
        <f>IFERROR(__xludf.DUMMYFUNCTION("""COMPUTED_VALUE"""),0.0075)</f>
      </c>
      <c r="H11" s="233">
        <f>IFERROR(__xludf.DUMMYFUNCTION("""COMPUTED_VALUE"""),"0.07% / 0%")</f>
      </c>
      <c r="I11" s="236">
        <f>IFERROR(__xludf.DUMMYFUNCTION("""COMPUTED_VALUE"""),163.0)</f>
      </c>
      <c r="J11" s="236">
        <f>IFERROR(__xludf.DUMMYFUNCTION("""COMPUTED_VALUE"""),503.0)</f>
      </c>
      <c r="K11" s="236">
        <f>IFERROR(__xludf.DUMMYFUNCTION("""COMPUTED_VALUE"""),928.0)</f>
      </c>
      <c r="L11" s="236">
        <f>IFERROR(__xludf.DUMMYFUNCTION("""COMPUTED_VALUE"""),2203.0)</f>
      </c>
      <c r="M11" s="236">
        <f>IFERROR(__xludf.DUMMYFUNCTION("""COMPUTED_VALUE"""),4128.0)</f>
      </c>
      <c r="N11" s="233">
        <f>IFERROR(__xludf.DUMMYFUNCTION("""COMPUTED_VALUE"""),"Active")</f>
      </c>
      <c r="O11" s="241">
        <f>IFERROR(__xludf.DUMMYFUNCTION("""COMPUTED_VALUE"""),"Rest ")</f>
      </c>
      <c r="P11" s="242">
        <f>IFERROR(__xludf.DUMMYFUNCTION("""COMPUTED_VALUE"""),44742.0)</f>
      </c>
      <c r="Q11" s="233">
        <f>IFERROR(__xludf.DUMMYFUNCTION("""COMPUTED_VALUE"""),"* ESG Integration
Excludes:
* Tobacco and controversial wepaons
* &gt;10% from thermal coal mining unless certain climate-related critera are met
")</f>
      </c>
      <c r="R11" s="233"/>
      <c r="S11" s="233"/>
      <c r="T11" s="233"/>
      <c r="U11" s="233"/>
      <c r="V11" s="233"/>
      <c r="W11" s="233"/>
      <c r="X11" s="233"/>
      <c r="Y11" s="233"/>
      <c r="Z11" s="233"/>
    </row>
    <row r="12">
      <c r="B12" s="233">
        <f>IFERROR(__xludf.DUMMYFUNCTION("""COMPUTED_VALUE"""),"Brighter Super")</f>
      </c>
      <c r="C12" s="233">
        <f>IFERROR(__xludf.DUMMYFUNCTION("""COMPUTED_VALUE"""),"Industry")</f>
      </c>
      <c r="D12" s="236">
        <f>IFERROR(__xludf.DUMMYFUNCTION("""COMPUTED_VALUE"""),0.0)</f>
      </c>
      <c r="E12" s="235">
        <f>IFERROR(__xludf.DUMMYFUNCTION("""COMPUTED_VALUE"""),0.0018)</f>
      </c>
      <c r="F12" s="236">
        <f>IFERROR(__xludf.DUMMYFUNCTION("""COMPUTED_VALUE"""),900.0)</f>
      </c>
      <c r="G12" s="235">
        <f>IFERROR(__xludf.DUMMYFUNCTION("""COMPUTED_VALUE"""),0.0074)</f>
      </c>
      <c r="H12" s="233">
        <f>IFERROR(__xludf.DUMMYFUNCTION("""COMPUTED_VALUE"""),"Nil")</f>
      </c>
      <c r="I12" s="236">
        <f>IFERROR(__xludf.DUMMYFUNCTION("""COMPUTED_VALUE"""),92.0)</f>
      </c>
      <c r="J12" s="236">
        <f>IFERROR(__xludf.DUMMYFUNCTION("""COMPUTED_VALUE"""),460.0)</f>
      </c>
      <c r="K12" s="236">
        <f>IFERROR(__xludf.DUMMYFUNCTION("""COMPUTED_VALUE"""),920.0)</f>
      </c>
      <c r="L12" s="236">
        <f>IFERROR(__xludf.DUMMYFUNCTION("""COMPUTED_VALUE"""),2300.0)</f>
      </c>
      <c r="M12" s="236">
        <f>IFERROR(__xludf.DUMMYFUNCTION("""COMPUTED_VALUE"""),4600.0)</f>
      </c>
      <c r="N12" s="233">
        <f>IFERROR(__xludf.DUMMYFUNCTION("""COMPUTED_VALUE"""),"Active")</f>
      </c>
      <c r="O12" s="241">
        <f>IFERROR(__xludf.DUMMYFUNCTION("""COMPUTED_VALUE"""),"Brighter Super")</f>
      </c>
      <c r="P12" s="242">
        <f>IFERROR(__xludf.DUMMYFUNCTION("""COMPUTED_VALUE"""),45107.0)</f>
      </c>
      <c r="Q12" s="233">
        <f>IFERROR(__xludf.DUMMYFUNCTION("""COMPUTED_VALUE"""),"ESG Integration")</f>
      </c>
      <c r="R12" s="233"/>
      <c r="S12" s="233"/>
      <c r="T12" s="233"/>
      <c r="U12" s="233"/>
      <c r="V12" s="233"/>
      <c r="W12" s="233"/>
      <c r="X12" s="233"/>
      <c r="Y12" s="233"/>
      <c r="Z12" s="233"/>
    </row>
    <row r="13">
      <c r="B13" s="233">
        <f>IFERROR(__xludf.DUMMYFUNCTION("""COMPUTED_VALUE"""),"Australian Super")</f>
      </c>
      <c r="C13" s="233">
        <f>IFERROR(__xludf.DUMMYFUNCTION("""COMPUTED_VALUE"""),"Industry")</f>
      </c>
      <c r="D13" s="236">
        <f>IFERROR(__xludf.DUMMYFUNCTION("""COMPUTED_VALUE"""),52.0)</f>
      </c>
      <c r="E13" s="235">
        <f>IFERROR(__xludf.DUMMYFUNCTION("""COMPUTED_VALUE"""),0.001)</f>
      </c>
      <c r="F13" s="236">
        <f>IFERROR(__xludf.DUMMYFUNCTION("""COMPUTED_VALUE"""),350.0)</f>
      </c>
      <c r="G13" s="235">
        <f>IFERROR(__xludf.DUMMYFUNCTION("""COMPUTED_VALUE"""),0.0055)</f>
      </c>
      <c r="H13" s="233">
        <f>IFERROR(__xludf.DUMMYFUNCTION("""COMPUTED_VALUE"""),"Nil")</f>
      </c>
      <c r="I13" s="236">
        <f>IFERROR(__xludf.DUMMYFUNCTION("""COMPUTED_VALUE"""),117.0)</f>
      </c>
      <c r="J13" s="236">
        <f>IFERROR(__xludf.DUMMYFUNCTION("""COMPUTED_VALUE"""),377.0)</f>
      </c>
      <c r="K13" s="236">
        <f>IFERROR(__xludf.DUMMYFUNCTION("""COMPUTED_VALUE"""),702.0)</f>
      </c>
      <c r="L13" s="236">
        <f>IFERROR(__xludf.DUMMYFUNCTION("""COMPUTED_VALUE"""),1677.0)</f>
      </c>
      <c r="M13" s="236">
        <f>IFERROR(__xludf.DUMMYFUNCTION("""COMPUTED_VALUE"""),3152.0)</f>
      </c>
      <c r="N13" s="233">
        <f>IFERROR(__xludf.DUMMYFUNCTION("""COMPUTED_VALUE"""),"Active")</f>
      </c>
      <c r="O13" s="241">
        <f>IFERROR(__xludf.DUMMYFUNCTION("""COMPUTED_VALUE"""),"Australian")</f>
      </c>
      <c r="P13" s="242">
        <f>IFERROR(__xludf.DUMMYFUNCTION("""COMPUTED_VALUE"""),45107.0)</f>
      </c>
      <c r="Q13" s="233">
        <f>IFERROR(__xludf.DUMMYFUNCTION("""COMPUTED_VALUE"""),"ESG Integration")</f>
      </c>
      <c r="R13" s="233"/>
      <c r="S13" s="233"/>
      <c r="T13" s="233"/>
      <c r="U13" s="233"/>
      <c r="V13" s="233"/>
      <c r="W13" s="233"/>
      <c r="X13" s="233"/>
      <c r="Y13" s="233"/>
      <c r="Z13" s="233"/>
    </row>
    <row r="14">
      <c r="B14" s="233">
        <f>IFERROR(__xludf.DUMMYFUNCTION("""COMPUTED_VALUE"""),"UniSuper")</f>
      </c>
      <c r="C14" s="233">
        <f>IFERROR(__xludf.DUMMYFUNCTION("""COMPUTED_VALUE"""),"Industry")</f>
      </c>
      <c r="D14" s="236">
        <f>IFERROR(__xludf.DUMMYFUNCTION("""COMPUTED_VALUE"""),0.0)</f>
      </c>
      <c r="E14" s="235">
        <f>IFERROR(__xludf.DUMMYFUNCTION("""COMPUTED_VALUE"""),0.02)</f>
      </c>
      <c r="F14" s="236">
        <f>IFERROR(__xludf.DUMMYFUNCTION("""COMPUTED_VALUE"""),96.0)</f>
      </c>
      <c r="G14" s="235">
        <f>IFERROR(__xludf.DUMMYFUNCTION("""COMPUTED_VALUE"""),0.0061)</f>
      </c>
      <c r="H14" s="233">
        <f>IFERROR(__xludf.DUMMYFUNCTION("""COMPUTED_VALUE"""),"Nil")</f>
      </c>
      <c r="I14" s="236">
        <f>IFERROR(__xludf.DUMMYFUNCTION("""COMPUTED_VALUE"""),157.0)</f>
      </c>
      <c r="J14" s="236">
        <f>IFERROR(__xludf.DUMMYFUNCTION("""COMPUTED_VALUE"""),401.0)</f>
      </c>
      <c r="K14" s="236">
        <f>IFERROR(__xludf.DUMMYFUNCTION("""COMPUTED_VALUE"""),706.0)</f>
      </c>
      <c r="L14" s="236">
        <f>IFERROR(__xludf.DUMMYFUNCTION("""COMPUTED_VALUE"""),1621.0)</f>
      </c>
      <c r="M14" s="236">
        <f>IFERROR(__xludf.DUMMYFUNCTION("""COMPUTED_VALUE"""),3146.0)</f>
      </c>
      <c r="N14" s="233">
        <f>IFERROR(__xludf.DUMMYFUNCTION("""COMPUTED_VALUE"""),"Active")</f>
      </c>
      <c r="O14" s="241">
        <f>IFERROR(__xludf.DUMMYFUNCTION("""COMPUTED_VALUE"""),"Unisuper")</f>
      </c>
      <c r="P14" s="242">
        <f>IFERROR(__xludf.DUMMYFUNCTION("""COMPUTED_VALUE"""),44742.0)</f>
      </c>
      <c r="Q14" s="233">
        <f>IFERROR(__xludf.DUMMYFUNCTION("""COMPUTED_VALUE"""),"* ESG Integration
Excludes:
* Tobacco
* Companies deriving over 10% of their revenue from thermal coal extraction
* Direct investments into live animal export.")</f>
      </c>
      <c r="R14" s="233"/>
      <c r="S14" s="233"/>
      <c r="T14" s="233"/>
      <c r="U14" s="233"/>
      <c r="V14" s="233"/>
      <c r="W14" s="233"/>
      <c r="X14" s="233"/>
      <c r="Y14" s="233"/>
      <c r="Z14" s="233"/>
    </row>
    <row r="15">
      <c r="B15" s="233">
        <f>IFERROR(__xludf.DUMMYFUNCTION("""COMPUTED_VALUE"""),"HESTA")</f>
      </c>
      <c r="C15" s="233">
        <f>IFERROR(__xludf.DUMMYFUNCTION("""COMPUTED_VALUE"""),"Industry")</f>
      </c>
      <c r="D15" s="236">
        <f>IFERROR(__xludf.DUMMYFUNCTION("""COMPUTED_VALUE"""),52.0)</f>
      </c>
      <c r="E15" s="235">
        <f>IFERROR(__xludf.DUMMYFUNCTION("""COMPUTED_VALUE"""),0.0015)</f>
      </c>
      <c r="F15" s="236">
        <f>IFERROR(__xludf.DUMMYFUNCTION("""COMPUTED_VALUE"""),750.0)</f>
      </c>
      <c r="G15" s="235">
        <f>IFERROR(__xludf.DUMMYFUNCTION("""COMPUTED_VALUE"""),0.0083)</f>
      </c>
      <c r="H15" s="233">
        <f>IFERROR(__xludf.DUMMYFUNCTION("""COMPUTED_VALUE"""),"Nil")</f>
      </c>
      <c r="I15" s="236">
        <f>IFERROR(__xludf.DUMMYFUNCTION("""COMPUTED_VALUE"""),150.0)</f>
      </c>
      <c r="J15" s="236">
        <f>IFERROR(__xludf.DUMMYFUNCTION("""COMPUTED_VALUE"""),542.0)</f>
      </c>
      <c r="K15" s="236">
        <f>IFERROR(__xludf.DUMMYFUNCTION("""COMPUTED_VALUE"""),1032.0)</f>
      </c>
      <c r="L15" s="236">
        <f>IFERROR(__xludf.DUMMYFUNCTION("""COMPUTED_VALUE"""),2502.0)</f>
      </c>
      <c r="M15" s="236">
        <f>IFERROR(__xludf.DUMMYFUNCTION("""COMPUTED_VALUE"""),4952.0)</f>
      </c>
      <c r="N15" s="233">
        <f>IFERROR(__xludf.DUMMYFUNCTION("""COMPUTED_VALUE"""),"Active")</f>
      </c>
      <c r="O15" s="241">
        <f>IFERROR(__xludf.DUMMYFUNCTION("""COMPUTED_VALUE"""),"HESTA")</f>
      </c>
      <c r="P15" s="242">
        <f>IFERROR(__xludf.DUMMYFUNCTION("""COMPUTED_VALUE"""),45107.0)</f>
      </c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>
      <c r="B16" s="233">
        <f>IFERROR(__xludf.DUMMYFUNCTION("""COMPUTED_VALUE"""),"CareSuper")</f>
      </c>
      <c r="C16" s="233">
        <f>IFERROR(__xludf.DUMMYFUNCTION("""COMPUTED_VALUE"""),"Industry")</f>
      </c>
      <c r="D16" s="236">
        <f>IFERROR(__xludf.DUMMYFUNCTION("""COMPUTED_VALUE"""),78.0)</f>
      </c>
      <c r="E16" s="235">
        <f>IFERROR(__xludf.DUMMYFUNCTION("""COMPUTED_VALUE"""),0.0019)</f>
      </c>
      <c r="F16" s="236">
        <f>IFERROR(__xludf.DUMMYFUNCTION("""COMPUTED_VALUE"""),750.0)</f>
      </c>
      <c r="G16" s="235">
        <f>IFERROR(__xludf.DUMMYFUNCTION("""COMPUTED_VALUE"""),0.0071)</f>
      </c>
      <c r="H16" s="233">
        <f>IFERROR(__xludf.DUMMYFUNCTION("""COMPUTED_VALUE"""),"0.06% / 0.06%")</f>
      </c>
      <c r="I16" s="236">
        <f>IFERROR(__xludf.DUMMYFUNCTION("""COMPUTED_VALUE"""),168.0)</f>
      </c>
      <c r="J16" s="236">
        <f>IFERROR(__xludf.DUMMYFUNCTION("""COMPUTED_VALUE"""),528.0)</f>
      </c>
      <c r="K16" s="236">
        <f>IFERROR(__xludf.DUMMYFUNCTION("""COMPUTED_VALUE"""),978.0)</f>
      </c>
      <c r="L16" s="236">
        <f>IFERROR(__xludf.DUMMYFUNCTION("""COMPUTED_VALUE"""),2328.0)</f>
      </c>
      <c r="M16" s="236">
        <f>IFERROR(__xludf.DUMMYFUNCTION("""COMPUTED_VALUE"""),4378.0)</f>
      </c>
      <c r="N16" s="233">
        <f>IFERROR(__xludf.DUMMYFUNCTION("""COMPUTED_VALUE"""),"Active")</f>
      </c>
      <c r="O16" s="241">
        <f>IFERROR(__xludf.DUMMYFUNCTION("""COMPUTED_VALUE"""),"CareSuper")</f>
      </c>
      <c r="P16" s="242">
        <f>IFERROR(__xludf.DUMMYFUNCTION("""COMPUTED_VALUE"""),45017.0)</f>
      </c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>
      <c r="B17" s="233">
        <f>IFERROR(__xludf.DUMMYFUNCTION("""COMPUTED_VALUE"""),"Cbus")</f>
      </c>
      <c r="C17" s="233">
        <f>IFERROR(__xludf.DUMMYFUNCTION("""COMPUTED_VALUE"""),"Industry")</f>
      </c>
      <c r="D17" s="236">
        <f>IFERROR(__xludf.DUMMYFUNCTION("""COMPUTED_VALUE"""),78.0)</f>
      </c>
      <c r="E17" s="235">
        <f>IFERROR(__xludf.DUMMYFUNCTION("""COMPUTED_VALUE"""),0.0019)</f>
      </c>
      <c r="F17" s="236">
        <f>IFERROR(__xludf.DUMMYFUNCTION("""COMPUTED_VALUE"""),1000.0)</f>
      </c>
      <c r="G17" s="235">
        <f>IFERROR(__xludf.DUMMYFUNCTION("""COMPUTED_VALUE"""),0.0066)</f>
      </c>
      <c r="H17" s="233">
        <f>IFERROR(__xludf.DUMMYFUNCTION("""COMPUTED_VALUE"""),"Nil")</f>
      </c>
      <c r="I17" s="236">
        <f>IFERROR(__xludf.DUMMYFUNCTION("""COMPUTED_VALUE"""),163.0)</f>
      </c>
      <c r="J17" s="236">
        <f>IFERROR(__xludf.DUMMYFUNCTION("""COMPUTED_VALUE"""),503.0)</f>
      </c>
      <c r="K17" s="236">
        <f>IFERROR(__xludf.DUMMYFUNCTION("""COMPUTED_VALUE"""),928.0)</f>
      </c>
      <c r="L17" s="236">
        <f>IFERROR(__xludf.DUMMYFUNCTION("""COMPUTED_VALUE"""),2203.0)</f>
      </c>
      <c r="M17" s="236">
        <f>IFERROR(__xludf.DUMMYFUNCTION("""COMPUTED_VALUE"""),4328.0)</f>
      </c>
      <c r="N17" s="233">
        <f>IFERROR(__xludf.DUMMYFUNCTION("""COMPUTED_VALUE"""),"Active")</f>
      </c>
      <c r="O17" s="241">
        <f>IFERROR(__xludf.DUMMYFUNCTION("""COMPUTED_VALUE"""),"Cbus")</f>
      </c>
      <c r="P17" s="242">
        <f>IFERROR(__xludf.DUMMYFUNCTION("""COMPUTED_VALUE"""),44834.0)</f>
      </c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>
      <c r="B18" s="233">
        <f>IFERROR(__xludf.DUMMYFUNCTION("""COMPUTED_VALUE"""),"Spirit")</f>
      </c>
      <c r="C18" s="233">
        <f>IFERROR(__xludf.DUMMYFUNCTION("""COMPUTED_VALUE"""),"Industry")</f>
      </c>
      <c r="D18" s="236">
        <f>IFERROR(__xludf.DUMMYFUNCTION("""COMPUTED_VALUE"""),67.6)</f>
      </c>
      <c r="E18" s="235">
        <f>IFERROR(__xludf.DUMMYFUNCTION("""COMPUTED_VALUE"""),0.0015)</f>
      </c>
      <c r="F18" s="236">
        <f>IFERROR(__xludf.DUMMYFUNCTION("""COMPUTED_VALUE"""),450.0)</f>
      </c>
      <c r="G18" s="235">
        <f>IFERROR(__xludf.DUMMYFUNCTION("""COMPUTED_VALUE"""),0.0064)</f>
      </c>
      <c r="H18" s="233">
        <f>IFERROR(__xludf.DUMMYFUNCTION("""COMPUTED_VALUE"""),"Nil")</f>
      </c>
      <c r="I18" s="236">
        <f>IFERROR(__xludf.DUMMYFUNCTION("""COMPUTED_VALUE"""),146.6)</f>
      </c>
      <c r="J18" s="236">
        <f>IFERROR(__xludf.DUMMYFUNCTION("""COMPUTED_VALUE"""),462.6)</f>
      </c>
      <c r="K18" s="236">
        <f>IFERROR(__xludf.DUMMYFUNCTION("""COMPUTED_VALUE"""),857.6)</f>
      </c>
      <c r="L18" s="236">
        <f>IFERROR(__xludf.DUMMYFUNCTION("""COMPUTED_VALUE"""),2042.6)</f>
      </c>
      <c r="M18" s="236">
        <f>IFERROR(__xludf.DUMMYFUNCTION("""COMPUTED_VALUE"""),3717.6)</f>
      </c>
      <c r="N18" s="233">
        <f>IFERROR(__xludf.DUMMYFUNCTION("""COMPUTED_VALUE"""),"Active")</f>
      </c>
      <c r="O18" s="241">
        <f>IFERROR(__xludf.DUMMYFUNCTION("""COMPUTED_VALUE"""),"Spirit")</f>
      </c>
      <c r="P18" s="242">
        <f>IFERROR(__xludf.DUMMYFUNCTION("""COMPUTED_VALUE"""),45107.0)</f>
      </c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>
      <c r="B19" s="233">
        <f>IFERROR(__xludf.DUMMYFUNCTION("""COMPUTED_VALUE"""),"Catholic Super")</f>
      </c>
      <c r="C19" s="233">
        <f>IFERROR(__xludf.DUMMYFUNCTION("""COMPUTED_VALUE"""),"Industry")</f>
      </c>
      <c r="D19" s="236">
        <f>IFERROR(__xludf.DUMMYFUNCTION("""COMPUTED_VALUE"""),52.0)</f>
      </c>
      <c r="E19" s="235">
        <f>IFERROR(__xludf.DUMMYFUNCTION("""COMPUTED_VALUE"""),0.0022)</f>
      </c>
      <c r="F19" s="236">
        <f>IFERROR(__xludf.DUMMYFUNCTION("""COMPUTED_VALUE"""),1100.0)</f>
      </c>
      <c r="G19" s="235">
        <f>IFERROR(__xludf.DUMMYFUNCTION("""COMPUTED_VALUE"""),0.0065)</f>
      </c>
      <c r="H19" s="233">
        <f>IFERROR(__xludf.DUMMYFUNCTION("""COMPUTED_VALUE"""),"Nil")</f>
      </c>
      <c r="I19" s="236">
        <f>IFERROR(__xludf.DUMMYFUNCTION("""COMPUTED_VALUE"""),139.0)</f>
      </c>
      <c r="J19" s="236">
        <f>IFERROR(__xludf.DUMMYFUNCTION("""COMPUTED_VALUE"""),487.0)</f>
      </c>
      <c r="K19" s="236">
        <f>IFERROR(__xludf.DUMMYFUNCTION("""COMPUTED_VALUE"""),922.0)</f>
      </c>
      <c r="L19" s="236">
        <f>IFERROR(__xludf.DUMMYFUNCTION("""COMPUTED_VALUE"""),2227.0)</f>
      </c>
      <c r="M19" s="236">
        <f>IFERROR(__xludf.DUMMYFUNCTION("""COMPUTED_VALUE"""),4402.0)</f>
      </c>
      <c r="N19" s="233">
        <f>IFERROR(__xludf.DUMMYFUNCTION("""COMPUTED_VALUE"""),"Active")</f>
      </c>
      <c r="O19" s="241">
        <f>IFERROR(__xludf.DUMMYFUNCTION("""COMPUTED_VALUE"""),"Catholic Super")</f>
      </c>
      <c r="P19" s="242">
        <f>IFERROR(__xludf.DUMMYFUNCTION("""COMPUTED_VALUE"""),45107.0)</f>
      </c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>
      <c r="B20" s="233">
        <f>IFERROR(__xludf.DUMMYFUNCTION("""COMPUTED_VALUE"""),"Legal Super")</f>
      </c>
      <c r="C20" s="233">
        <f>IFERROR(__xludf.DUMMYFUNCTION("""COMPUTED_VALUE"""),"Industry")</f>
      </c>
      <c r="D20" s="236">
        <f>IFERROR(__xludf.DUMMYFUNCTION("""COMPUTED_VALUE"""),67.6)</f>
      </c>
      <c r="E20" s="235">
        <f>IFERROR(__xludf.DUMMYFUNCTION("""COMPUTED_VALUE"""),0.0029)</f>
      </c>
      <c r="F20" s="236">
        <f>IFERROR(__xludf.DUMMYFUNCTION("""COMPUTED_VALUE"""),"NA")</f>
      </c>
      <c r="G20" s="235">
        <f>IFERROR(__xludf.DUMMYFUNCTION("""COMPUTED_VALUE"""),0.0063)</f>
      </c>
      <c r="H20" s="233">
        <f>IFERROR(__xludf.DUMMYFUNCTION("""COMPUTED_VALUE"""),"0.07% / 0.08%")</f>
      </c>
      <c r="I20" s="236">
        <f>IFERROR(__xludf.DUMMYFUNCTION("""COMPUTED_VALUE"""),159.6)</f>
      </c>
      <c r="J20" s="236">
        <f>IFERROR(__xludf.DUMMYFUNCTION("""COMPUTED_VALUE"""),527.6)</f>
      </c>
      <c r="K20" s="236">
        <f>IFERROR(__xludf.DUMMYFUNCTION("""COMPUTED_VALUE"""),987.6)</f>
      </c>
      <c r="L20" s="236">
        <f>IFERROR(__xludf.DUMMYFUNCTION("""COMPUTED_VALUE"""),2367.6)</f>
      </c>
      <c r="M20" s="236">
        <f>IFERROR(__xludf.DUMMYFUNCTION("""COMPUTED_VALUE"""),4667.6)</f>
      </c>
      <c r="N20" s="233">
        <f>IFERROR(__xludf.DUMMYFUNCTION("""COMPUTED_VALUE"""),"Active")</f>
      </c>
      <c r="O20" s="241">
        <f>IFERROR(__xludf.DUMMYFUNCTION("""COMPUTED_VALUE"""),"Legal Super")</f>
      </c>
      <c r="P20" s="242">
        <f>IFERROR(__xludf.DUMMYFUNCTION("""COMPUTED_VALUE"""),45107.0)</f>
      </c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>
      <c r="B21" s="233">
        <f>IFERROR(__xludf.DUMMYFUNCTION("""COMPUTED_VALUE"""),"Prime Super")</f>
      </c>
      <c r="C21" s="233">
        <f>IFERROR(__xludf.DUMMYFUNCTION("""COMPUTED_VALUE"""),"Industry")</f>
      </c>
      <c r="D21" s="236">
        <f>IFERROR(__xludf.DUMMYFUNCTION("""COMPUTED_VALUE"""),67.6)</f>
      </c>
      <c r="E21" s="235">
        <f>IFERROR(__xludf.DUMMYFUNCTION("""COMPUTED_VALUE"""),0.005)</f>
      </c>
      <c r="F21" s="236">
        <f>IFERROR(__xludf.DUMMYFUNCTION("""COMPUTED_VALUE"""),500.0)</f>
      </c>
      <c r="G21" s="235">
        <f>IFERROR(__xludf.DUMMYFUNCTION("""COMPUTED_VALUE"""),0.0055)</f>
      </c>
      <c r="H21" s="233">
        <f>IFERROR(__xludf.DUMMYFUNCTION("""COMPUTED_VALUE"""),"Nil")</f>
      </c>
      <c r="I21" s="236">
        <f>IFERROR(__xludf.DUMMYFUNCTION("""COMPUTED_VALUE"""),172.6)</f>
      </c>
      <c r="J21" s="236">
        <f>IFERROR(__xludf.DUMMYFUNCTION("""COMPUTED_VALUE"""),592.6)</f>
      </c>
      <c r="K21" s="236">
        <f>IFERROR(__xludf.DUMMYFUNCTION("""COMPUTED_VALUE"""),1117.6)</f>
      </c>
      <c r="L21" s="236">
        <f>IFERROR(__xludf.DUMMYFUNCTION("""COMPUTED_VALUE"""),1942.6)</f>
      </c>
      <c r="M21" s="236">
        <f>IFERROR(__xludf.DUMMYFUNCTION("""COMPUTED_VALUE"""),3317.6)</f>
      </c>
      <c r="N21" s="233">
        <f>IFERROR(__xludf.DUMMYFUNCTION("""COMPUTED_VALUE"""),"Active")</f>
      </c>
      <c r="O21" s="241">
        <f>IFERROR(__xludf.DUMMYFUNCTION("""COMPUTED_VALUE"""),"Prime Super")</f>
      </c>
      <c r="P21" s="242">
        <f>IFERROR(__xludf.DUMMYFUNCTION("""COMPUTED_VALUE"""),44835.0)</f>
      </c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>
      <c r="B22" s="233">
        <f>IFERROR(__xludf.DUMMYFUNCTION("""COMPUTED_VALUE"""),"Australian Ethical")</f>
      </c>
      <c r="C22" s="233">
        <f>IFERROR(__xludf.DUMMYFUNCTION("""COMPUTED_VALUE"""),"Retail")</f>
      </c>
      <c r="D22" s="236">
        <f>IFERROR(__xludf.DUMMYFUNCTION("""COMPUTED_VALUE"""),59.13)</f>
      </c>
      <c r="E22" s="235">
        <f>IFERROR(__xludf.DUMMYFUNCTION("""COMPUTED_VALUE"""),0.0023)</f>
      </c>
      <c r="F22" s="236">
        <f>IFERROR(__xludf.DUMMYFUNCTION("""COMPUTED_VALUE"""),"NA")</f>
      </c>
      <c r="G22" s="235">
        <f>IFERROR(__xludf.DUMMYFUNCTION("""COMPUTED_VALUE"""),0.01)</f>
      </c>
      <c r="H22" s="233">
        <f>IFERROR(__xludf.DUMMYFUNCTION("""COMPUTED_VALUE"""),"0.05% / 0.05%")</f>
      </c>
      <c r="I22" s="236">
        <f>IFERROR(__xludf.DUMMYFUNCTION("""COMPUTED_VALUE"""),182.13)</f>
      </c>
      <c r="J22" s="236">
        <f>IFERROR(__xludf.DUMMYFUNCTION("""COMPUTED_VALUE"""),674.13)</f>
      </c>
      <c r="K22" s="236">
        <f>IFERROR(__xludf.DUMMYFUNCTION("""COMPUTED_VALUE"""),1289.13)</f>
      </c>
      <c r="L22" s="236">
        <f>IFERROR(__xludf.DUMMYFUNCTION("""COMPUTED_VALUE"""),3134.13)</f>
      </c>
      <c r="M22" s="236">
        <f>IFERROR(__xludf.DUMMYFUNCTION("""COMPUTED_VALUE"""),6209.13)</f>
      </c>
      <c r="N22" s="233">
        <f>IFERROR(__xludf.DUMMYFUNCTION("""COMPUTED_VALUE"""),"Active")</f>
      </c>
      <c r="O22" s="241">
        <f>IFERROR(__xludf.DUMMYFUNCTION("""COMPUTED_VALUE"""),"Australian Ethical")</f>
      </c>
      <c r="P22" s="242">
        <f>IFERROR(__xludf.DUMMYFUNCTION("""COMPUTED_VALUE"""),44896.0)</f>
      </c>
      <c r="Q22" s="233">
        <f>IFERROR(__xludf.DUMMYFUNCTION("""COMPUTED_VALUE"""),"Fee discounts for balances &lt;$250,000 (does not include the Balanced option). Read the link for more info.")</f>
      </c>
      <c r="R22" s="233"/>
      <c r="S22" s="233"/>
      <c r="T22" s="233"/>
      <c r="U22" s="233"/>
      <c r="V22" s="233"/>
      <c r="W22" s="233"/>
      <c r="X22" s="233"/>
      <c r="Y22" s="233"/>
      <c r="Z22" s="233"/>
    </row>
    <row r="23">
      <c r="B23" s="233">
        <f>IFERROR(__xludf.DUMMYFUNCTION("""COMPUTED_VALUE"""),"Future")</f>
      </c>
      <c r="C23" s="233">
        <f>IFERROR(__xludf.DUMMYFUNCTION("""COMPUTED_VALUE"""),"Retail")</f>
      </c>
      <c r="D23" s="236">
        <f>IFERROR(__xludf.DUMMYFUNCTION("""COMPUTED_VALUE"""),60.0)</f>
      </c>
      <c r="E23" s="235">
        <f>IFERROR(__xludf.DUMMYFUNCTION("""COMPUTED_VALUE"""),0.00513)</f>
      </c>
      <c r="F23" s="236">
        <f>IFERROR(__xludf.DUMMYFUNCTION("""COMPUTED_VALUE"""),"NA")</f>
      </c>
      <c r="G23" s="235">
        <f>IFERROR(__xludf.DUMMYFUNCTION("""COMPUTED_VALUE"""),0.00872)</f>
      </c>
      <c r="H23" s="233">
        <f>IFERROR(__xludf.DUMMYFUNCTION("""COMPUTED_VALUE"""),"0.075% / 0.075%")</f>
      </c>
      <c r="I23" s="236">
        <f>IFERROR(__xludf.DUMMYFUNCTION("""COMPUTED_VALUE"""),198.5)</f>
      </c>
      <c r="J23" s="236">
        <f>IFERROR(__xludf.DUMMYFUNCTION("""COMPUTED_VALUE"""),752.5)</f>
      </c>
      <c r="K23" s="236">
        <f>IFERROR(__xludf.DUMMYFUNCTION("""COMPUTED_VALUE"""),1445.0)</f>
      </c>
      <c r="L23" s="236">
        <f>IFERROR(__xludf.DUMMYFUNCTION("""COMPUTED_VALUE"""),3522.5)</f>
      </c>
      <c r="M23" s="236">
        <f>IFERROR(__xludf.DUMMYFUNCTION("""COMPUTED_VALUE"""),6985.0)</f>
      </c>
      <c r="N23" s="233">
        <f>IFERROR(__xludf.DUMMYFUNCTION("""COMPUTED_VALUE"""),"Active")</f>
      </c>
      <c r="O23" s="241">
        <f>IFERROR(__xludf.DUMMYFUNCTION("""COMPUTED_VALUE"""),"Future")</f>
      </c>
      <c r="P23" s="242">
        <f>IFERROR(__xludf.DUMMYFUNCTION("""COMPUTED_VALUE"""),45107.0)</f>
      </c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>
      <c r="B24" s="233">
        <f>IFERROR(__xludf.DUMMYFUNCTION("""COMPUTED_VALUE"""),"Colonial First State")</f>
      </c>
      <c r="C24" s="233">
        <f>IFERROR(__xludf.DUMMYFUNCTION("""COMPUTED_VALUE"""),"Retail")</f>
      </c>
      <c r="D24" s="236">
        <f>IFERROR(__xludf.DUMMYFUNCTION("""COMPUTED_VALUE"""),0.0)</f>
      </c>
      <c r="E24" s="235">
        <f>IFERROR(__xludf.DUMMYFUNCTION("""COMPUTED_VALUE"""),0.002)</f>
      </c>
      <c r="F24" s="236">
        <f>IFERROR(__xludf.DUMMYFUNCTION("""COMPUTED_VALUE"""),"NA")</f>
      </c>
      <c r="G24" s="235">
        <f>IFERROR(__xludf.DUMMYFUNCTION("""COMPUTED_VALUE"""),0.0101)</f>
      </c>
      <c r="H24" s="233">
        <f>IFERROR(__xludf.DUMMYFUNCTION("""COMPUTED_VALUE"""),"0.15% / 0.15%")</f>
      </c>
      <c r="I24" s="236">
        <f>IFERROR(__xludf.DUMMYFUNCTION("""COMPUTED_VALUE"""),121.0)</f>
      </c>
      <c r="J24" s="236">
        <f>IFERROR(__xludf.DUMMYFUNCTION("""COMPUTED_VALUE"""),605.0)</f>
      </c>
      <c r="K24" s="236">
        <f>IFERROR(__xludf.DUMMYFUNCTION("""COMPUTED_VALUE"""),1210.0)</f>
      </c>
      <c r="L24" s="236">
        <f>IFERROR(__xludf.DUMMYFUNCTION("""COMPUTED_VALUE"""),3025.0)</f>
      </c>
      <c r="M24" s="236">
        <f>IFERROR(__xludf.DUMMYFUNCTION("""COMPUTED_VALUE"""),6050.0)</f>
      </c>
      <c r="N24" s="233">
        <f>IFERROR(__xludf.DUMMYFUNCTION("""COMPUTED_VALUE"""),"Active")</f>
      </c>
      <c r="O24" s="241">
        <f>IFERROR(__xludf.DUMMYFUNCTION("""COMPUTED_VALUE"""),"CFS")</f>
      </c>
      <c r="P24" s="242">
        <f>IFERROR(__xludf.DUMMYFUNCTION("""COMPUTED_VALUE"""),45068.0)</f>
      </c>
      <c r="Q24" s="233">
        <f>IFERROR(__xludf.DUMMYFUNCTION("""COMPUTED_VALUE"""),"Option from FirstChoice Multi-manager multi-sector. Portfolio rebates for balances above $100,000. Read the link for more info.")</f>
      </c>
      <c r="R24" s="233"/>
      <c r="S24" s="233"/>
      <c r="T24" s="233"/>
      <c r="U24" s="233"/>
      <c r="V24" s="233"/>
      <c r="W24" s="233"/>
      <c r="X24" s="233"/>
      <c r="Y24" s="233"/>
      <c r="Z24" s="233"/>
    </row>
    <row r="25">
      <c r="B25" s="233">
        <f>IFERROR(__xludf.DUMMYFUNCTION("""COMPUTED_VALUE"""),"Colonial First State")</f>
      </c>
      <c r="C25" s="233">
        <f>IFERROR(__xludf.DUMMYFUNCTION("""COMPUTED_VALUE"""),"Retail")</f>
      </c>
      <c r="D25" s="236">
        <f>IFERROR(__xludf.DUMMYFUNCTION("""COMPUTED_VALUE"""),0.0)</f>
      </c>
      <c r="E25" s="235">
        <f>IFERROR(__xludf.DUMMYFUNCTION("""COMPUTED_VALUE"""),0.002)</f>
      </c>
      <c r="F25" s="236">
        <f>IFERROR(__xludf.DUMMYFUNCTION("""COMPUTED_VALUE"""),"NA")</f>
      </c>
      <c r="G25" s="235">
        <f>IFERROR(__xludf.DUMMYFUNCTION("""COMPUTED_VALUE"""),0.006)</f>
      </c>
      <c r="H25" s="233">
        <f>IFERROR(__xludf.DUMMYFUNCTION("""COMPUTED_VALUE"""),"0.10% / 0.10%")</f>
      </c>
      <c r="I25" s="236">
        <f>IFERROR(__xludf.DUMMYFUNCTION("""COMPUTED_VALUE"""),80.0)</f>
      </c>
      <c r="J25" s="236">
        <f>IFERROR(__xludf.DUMMYFUNCTION("""COMPUTED_VALUE"""),400.0)</f>
      </c>
      <c r="K25" s="236">
        <f>IFERROR(__xludf.DUMMYFUNCTION("""COMPUTED_VALUE"""),800.0)</f>
      </c>
      <c r="L25" s="236">
        <f>IFERROR(__xludf.DUMMYFUNCTION("""COMPUTED_VALUE"""),2000.0)</f>
      </c>
      <c r="M25" s="236">
        <f>IFERROR(__xludf.DUMMYFUNCTION("""COMPUTED_VALUE"""),4000.0)</f>
      </c>
      <c r="N25" s="233">
        <f>IFERROR(__xludf.DUMMYFUNCTION("""COMPUTED_VALUE"""),"Passive")</f>
      </c>
      <c r="O25" s="241">
        <f>IFERROR(__xludf.DUMMYFUNCTION("""COMPUTED_VALUE"""),"CFS")</f>
      </c>
      <c r="P25" s="242">
        <f>IFERROR(__xludf.DUMMYFUNCTION("""COMPUTED_VALUE"""),45068.0)</f>
      </c>
      <c r="Q25" s="233">
        <f>IFERROR(__xludf.DUMMYFUNCTION("""COMPUTED_VALUE"""),"Option from Colonial First State Enhanced Index Series (includes alternative assets). Portfolio rebates for balances above $100,000. Read the link for more info.")</f>
      </c>
      <c r="R25" s="233"/>
      <c r="S25" s="233"/>
      <c r="T25" s="233"/>
      <c r="U25" s="233"/>
      <c r="V25" s="233"/>
      <c r="W25" s="233"/>
      <c r="X25" s="233"/>
      <c r="Y25" s="233"/>
      <c r="Z25" s="233"/>
    </row>
    <row r="26">
      <c r="B26" s="233">
        <f>IFERROR(__xludf.DUMMYFUNCTION("""COMPUTED_VALUE"""),"Colonial First State")</f>
      </c>
      <c r="C26" s="233">
        <f>IFERROR(__xludf.DUMMYFUNCTION("""COMPUTED_VALUE"""),"Retail")</f>
      </c>
      <c r="D26" s="236">
        <f>IFERROR(__xludf.DUMMYFUNCTION("""COMPUTED_VALUE"""),0.0)</f>
      </c>
      <c r="E26" s="235">
        <f>IFERROR(__xludf.DUMMYFUNCTION("""COMPUTED_VALUE"""),0.002)</f>
      </c>
      <c r="F26" s="236">
        <f>IFERROR(__xludf.DUMMYFUNCTION("""COMPUTED_VALUE"""),"NA")</f>
      </c>
      <c r="G26" s="235">
        <f>IFERROR(__xludf.DUMMYFUNCTION("""COMPUTED_VALUE"""),0.0014)</f>
      </c>
      <c r="H26" s="233">
        <f>IFERROR(__xludf.DUMMYFUNCTION("""COMPUTED_VALUE"""),"0.05% / 0.05%")</f>
      </c>
      <c r="I26" s="236">
        <f>IFERROR(__xludf.DUMMYFUNCTION("""COMPUTED_VALUE"""),34.0)</f>
      </c>
      <c r="J26" s="236">
        <f>IFERROR(__xludf.DUMMYFUNCTION("""COMPUTED_VALUE"""),170.0)</f>
      </c>
      <c r="K26" s="236">
        <f>IFERROR(__xludf.DUMMYFUNCTION("""COMPUTED_VALUE"""),340.0)</f>
      </c>
      <c r="L26" s="236">
        <f>IFERROR(__xludf.DUMMYFUNCTION("""COMPUTED_VALUE"""),850.0)</f>
      </c>
      <c r="M26" s="236">
        <f>IFERROR(__xludf.DUMMYFUNCTION("""COMPUTED_VALUE"""),1700.0)</f>
      </c>
      <c r="N26" s="233">
        <f>IFERROR(__xludf.DUMMYFUNCTION("""COMPUTED_VALUE"""),"Passive")</f>
      </c>
      <c r="O26" s="241">
        <f>IFERROR(__xludf.DUMMYFUNCTION("""COMPUTED_VALUE"""),"CFS")</f>
      </c>
      <c r="P26" s="242">
        <f>IFERROR(__xludf.DUMMYFUNCTION("""COMPUTED_VALUE"""),45068.0)</f>
      </c>
      <c r="Q26" s="233">
        <f>IFERROR(__xludf.DUMMYFUNCTION("""COMPUTED_VALUE"""),"Option from Colonial First State Index Series. Portfolio rebates for balances above $100,000. Read the link for more info.")</f>
      </c>
      <c r="R26" s="233"/>
      <c r="S26" s="233"/>
      <c r="T26" s="233"/>
      <c r="U26" s="233"/>
      <c r="V26" s="233"/>
      <c r="W26" s="233"/>
      <c r="X26" s="233"/>
      <c r="Y26" s="233"/>
      <c r="Z26" s="233"/>
    </row>
    <row r="27">
      <c r="B27" s="233">
        <f>IFERROR(__xludf.DUMMYFUNCTION("""COMPUTED_VALUE"""),"Vanguard Super")</f>
      </c>
      <c r="C27" s="233">
        <f>IFERROR(__xludf.DUMMYFUNCTION("""COMPUTED_VALUE"""),"Retail")</f>
      </c>
      <c r="D27" s="236">
        <f>IFERROR(__xludf.DUMMYFUNCTION("""COMPUTED_VALUE"""),0.0)</f>
      </c>
      <c r="E27" s="235">
        <f>IFERROR(__xludf.DUMMYFUNCTION("""COMPUTED_VALUE"""),0.0035)</f>
      </c>
      <c r="F27" s="236">
        <f>IFERROR(__xludf.DUMMYFUNCTION("""COMPUTED_VALUE"""),"NA")</f>
      </c>
      <c r="G27" s="235">
        <f>IFERROR(__xludf.DUMMYFUNCTION("""COMPUTED_VALUE"""),0.0021)</f>
      </c>
      <c r="H27" s="233">
        <f>IFERROR(__xludf.DUMMYFUNCTION("""COMPUTED_VALUE"""),"0.09% / 0.09%")</f>
      </c>
      <c r="I27" s="236">
        <f>IFERROR(__xludf.DUMMYFUNCTION("""COMPUTED_VALUE"""),56.0)</f>
      </c>
      <c r="J27" s="236">
        <f>IFERROR(__xludf.DUMMYFUNCTION("""COMPUTED_VALUE"""),280.0)</f>
      </c>
      <c r="K27" s="236">
        <f>IFERROR(__xludf.DUMMYFUNCTION("""COMPUTED_VALUE"""),560.0)</f>
      </c>
      <c r="L27" s="236">
        <f>IFERROR(__xludf.DUMMYFUNCTION("""COMPUTED_VALUE"""),1400.0)</f>
      </c>
      <c r="M27" s="236">
        <f>IFERROR(__xludf.DUMMYFUNCTION("""COMPUTED_VALUE"""),2800.0)</f>
      </c>
      <c r="N27" s="233">
        <f>IFERROR(__xludf.DUMMYFUNCTION("""COMPUTED_VALUE"""),"Passive")</f>
      </c>
      <c r="O27" s="241">
        <f>IFERROR(__xludf.DUMMYFUNCTION("""COMPUTED_VALUE"""),"Vanguard Super")</f>
      </c>
      <c r="P27" s="242">
        <f>IFERROR(__xludf.DUMMYFUNCTION("""COMPUTED_VALUE"""),44837.0)</f>
      </c>
      <c r="Q27" s="233">
        <f>IFERROR(__xludf.DUMMYFUNCTION("""COMPUTED_VALUE"""),"A balance above $850,000 will have an admin fee of 0.05% instead.")</f>
      </c>
      <c r="R27" s="233"/>
      <c r="S27" s="233"/>
      <c r="T27" s="233"/>
      <c r="U27" s="233"/>
      <c r="V27" s="233"/>
      <c r="W27" s="233"/>
      <c r="X27" s="233"/>
      <c r="Y27" s="233"/>
      <c r="Z27" s="233"/>
    </row>
    <row r="28">
      <c r="B28" s="233">
        <f>IFERROR(__xludf.DUMMYFUNCTION("""COMPUTED_VALUE"""),"Virgin Money")</f>
      </c>
      <c r="C28" s="233">
        <f>IFERROR(__xludf.DUMMYFUNCTION("""COMPUTED_VALUE"""),"Retail")</f>
      </c>
      <c r="D28" s="236">
        <f>IFERROR(__xludf.DUMMYFUNCTION("""COMPUTED_VALUE"""),58.0)</f>
      </c>
      <c r="E28" s="235">
        <f>IFERROR(__xludf.DUMMYFUNCTION("""COMPUTED_VALUE"""),0.00411)</f>
      </c>
      <c r="F28" s="236">
        <f>IFERROR(__xludf.DUMMYFUNCTION("""COMPUTED_VALUE"""),"NA")</f>
      </c>
      <c r="G28" s="235">
        <f>IFERROR(__xludf.DUMMYFUNCTION("""COMPUTED_VALUE"""),0.0029)</f>
      </c>
      <c r="H28" s="233">
        <f>IFERROR(__xludf.DUMMYFUNCTION("""COMPUTED_VALUE"""),"Nil")</f>
      </c>
      <c r="I28" s="236">
        <f>IFERROR(__xludf.DUMMYFUNCTION("""COMPUTED_VALUE"""),128.1)</f>
      </c>
      <c r="J28" s="236">
        <f>IFERROR(__xludf.DUMMYFUNCTION("""COMPUTED_VALUE"""),408.5)</f>
      </c>
      <c r="K28" s="236">
        <f>IFERROR(__xludf.DUMMYFUNCTION("""COMPUTED_VALUE"""),759.0)</f>
      </c>
      <c r="L28" s="236">
        <f>IFERROR(__xludf.DUMMYFUNCTION("""COMPUTED_VALUE"""),1810.5)</f>
      </c>
      <c r="M28" s="236">
        <f>IFERROR(__xludf.DUMMYFUNCTION("""COMPUTED_VALUE"""),3563.0)</f>
      </c>
      <c r="N28" s="233">
        <f>IFERROR(__xludf.DUMMYFUNCTION("""COMPUTED_VALUE"""),"Passive")</f>
      </c>
      <c r="O28" s="241">
        <f>IFERROR(__xludf.DUMMYFUNCTION("""COMPUTED_VALUE"""),"Virgin Money")</f>
      </c>
      <c r="P28" s="242">
        <f>IFERROR(__xludf.DUMMYFUNCTION("""COMPUTED_VALUE"""),45107.0)</f>
      </c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>
      <c r="B29" s="233">
        <f>IFERROR(__xludf.DUMMYFUNCTION("""COMPUTED_VALUE"""),"Spaceship")</f>
      </c>
      <c r="C29" s="233">
        <f>IFERROR(__xludf.DUMMYFUNCTION("""COMPUTED_VALUE"""),"Retail")</f>
      </c>
      <c r="D29" s="236">
        <f>IFERROR(__xludf.DUMMYFUNCTION("""COMPUTED_VALUE"""),78.0)</f>
      </c>
      <c r="E29" s="235">
        <f>IFERROR(__xludf.DUMMYFUNCTION("""COMPUTED_VALUE"""),0.016849999999999997)</f>
      </c>
      <c r="F29" s="236">
        <f>IFERROR(__xludf.DUMMYFUNCTION("""COMPUTED_VALUE"""),"NA")</f>
      </c>
      <c r="G29" s="235">
        <f>IFERROR(__xludf.DUMMYFUNCTION("""COMPUTED_VALUE"""),0.00196)</f>
      </c>
      <c r="H29" s="233">
        <f>IFERROR(__xludf.DUMMYFUNCTION("""COMPUTED_VALUE"""),"0.188% / 0.189%")</f>
      </c>
      <c r="I29" s="236">
        <f>IFERROR(__xludf.DUMMYFUNCTION("""COMPUTED_VALUE"""),266.09999999999997)</f>
      </c>
      <c r="J29" s="236">
        <f>IFERROR(__xludf.DUMMYFUNCTION("""COMPUTED_VALUE"""),1018.4999999999999)</f>
      </c>
      <c r="K29" s="236">
        <f>IFERROR(__xludf.DUMMYFUNCTION("""COMPUTED_VALUE"""),1958.9999999999998)</f>
      </c>
      <c r="L29" s="236">
        <f>IFERROR(__xludf.DUMMYFUNCTION("""COMPUTED_VALUE"""),4780.499999999999)</f>
      </c>
      <c r="M29" s="236">
        <f>IFERROR(__xludf.DUMMYFUNCTION("""COMPUTED_VALUE"""),9482.999999999998)</f>
      </c>
      <c r="N29" s="233">
        <f>IFERROR(__xludf.DUMMYFUNCTION("""COMPUTED_VALUE"""),"Active")</f>
      </c>
      <c r="O29" s="241">
        <f>IFERROR(__xludf.DUMMYFUNCTION("""COMPUTED_VALUE"""),"Spaceship")</f>
      </c>
      <c r="P29" s="242">
        <f>IFERROR(__xludf.DUMMYFUNCTION("""COMPUTED_VALUE"""),44834.0)</f>
      </c>
      <c r="Q29" s="233">
        <f>IFERROR(__xludf.DUMMYFUNCTION("""COMPUTED_VALUE"""),"GrowthX option. No $78 admin fee for balances &lt;$6,000")</f>
      </c>
      <c r="R29" s="233"/>
      <c r="S29" s="233"/>
      <c r="T29" s="233"/>
      <c r="U29" s="233"/>
      <c r="V29" s="233"/>
      <c r="W29" s="233"/>
      <c r="X29" s="233"/>
      <c r="Y29" s="233"/>
      <c r="Z29" s="233"/>
    </row>
    <row r="30">
      <c r="B30" s="233">
        <f>IFERROR(__xludf.DUMMYFUNCTION("""COMPUTED_VALUE"""),"Spaceship")</f>
      </c>
      <c r="C30" s="233">
        <f>IFERROR(__xludf.DUMMYFUNCTION("""COMPUTED_VALUE"""),"Retail")</f>
      </c>
      <c r="D30" s="236">
        <f>IFERROR(__xludf.DUMMYFUNCTION("""COMPUTED_VALUE"""),78.0)</f>
      </c>
      <c r="E30" s="235">
        <f>IFERROR(__xludf.DUMMYFUNCTION("""COMPUTED_VALUE"""),0.01542)</f>
      </c>
      <c r="F30" s="236">
        <f>IFERROR(__xludf.DUMMYFUNCTION("""COMPUTED_VALUE"""),"NA")</f>
      </c>
      <c r="G30" s="235">
        <f>IFERROR(__xludf.DUMMYFUNCTION("""COMPUTED_VALUE"""),0.0)</f>
      </c>
      <c r="H30" s="233">
        <f>IFERROR(__xludf.DUMMYFUNCTION("""COMPUTED_VALUE"""),"0.08% / 0.08%")</f>
      </c>
      <c r="I30" s="236">
        <f>IFERROR(__xludf.DUMMYFUNCTION("""COMPUTED_VALUE"""),232.2)</f>
      </c>
      <c r="J30" s="236">
        <f>IFERROR(__xludf.DUMMYFUNCTION("""COMPUTED_VALUE"""),849.0)</f>
      </c>
      <c r="K30" s="236">
        <f>IFERROR(__xludf.DUMMYFUNCTION("""COMPUTED_VALUE"""),1620.0)</f>
      </c>
      <c r="L30" s="236">
        <f>IFERROR(__xludf.DUMMYFUNCTION("""COMPUTED_VALUE"""),3933.0)</f>
      </c>
      <c r="M30" s="236">
        <f>IFERROR(__xludf.DUMMYFUNCTION("""COMPUTED_VALUE"""),7788.0)</f>
      </c>
      <c r="N30" s="233">
        <f>IFERROR(__xludf.DUMMYFUNCTION("""COMPUTED_VALUE"""),"Passive")</f>
      </c>
      <c r="O30" s="241">
        <f>IFERROR(__xludf.DUMMYFUNCTION("""COMPUTED_VALUE"""),"Spaceship")</f>
      </c>
      <c r="P30" s="242">
        <f>IFERROR(__xludf.DUMMYFUNCTION("""COMPUTED_VALUE"""),44834.0)</f>
      </c>
      <c r="Q30" s="233">
        <f>IFERROR(__xludf.DUMMYFUNCTION("""COMPUTED_VALUE"""),"Global Index option. No $78 admin fee for balances &lt;$6,000")</f>
      </c>
      <c r="R30" s="233"/>
      <c r="S30" s="233"/>
      <c r="T30" s="233"/>
      <c r="U30" s="233"/>
      <c r="V30" s="233"/>
      <c r="W30" s="233"/>
      <c r="X30" s="233"/>
      <c r="Y30" s="233"/>
      <c r="Z30" s="233"/>
    </row>
    <row r="31">
      <c r="B31" s="233">
        <f>IFERROR(__xludf.DUMMYFUNCTION("""COMPUTED_VALUE"""),"AMP")</f>
      </c>
      <c r="C31" s="233">
        <f>IFERROR(__xludf.DUMMYFUNCTION("""COMPUTED_VALUE"""),"Retail")</f>
      </c>
      <c r="D31" s="236">
        <f>IFERROR(__xludf.DUMMYFUNCTION("""COMPUTED_VALUE"""),78.0)</f>
      </c>
      <c r="E31" s="235">
        <f>IFERROR(__xludf.DUMMYFUNCTION("""COMPUTED_VALUE"""),0.00234)</f>
      </c>
      <c r="F31" s="236">
        <f>IFERROR(__xludf.DUMMYFUNCTION("""COMPUTED_VALUE"""),950.0)</f>
      </c>
      <c r="G31" s="235">
        <f>IFERROR(__xludf.DUMMYFUNCTION("""COMPUTED_VALUE"""),0.0091)</f>
      </c>
      <c r="H31" s="233">
        <f>IFERROR(__xludf.DUMMYFUNCTION("""COMPUTED_VALUE"""),"Nil")</f>
      </c>
      <c r="I31" s="236">
        <f>IFERROR(__xludf.DUMMYFUNCTION("""COMPUTED_VALUE"""),192.4)</f>
      </c>
      <c r="J31" s="236">
        <f>IFERROR(__xludf.DUMMYFUNCTION("""COMPUTED_VALUE"""),650.0)</f>
      </c>
      <c r="K31" s="236">
        <f>IFERROR(__xludf.DUMMYFUNCTION("""COMPUTED_VALUE"""),1222.0)</f>
      </c>
      <c r="L31" s="236">
        <f>IFERROR(__xludf.DUMMYFUNCTION("""COMPUTED_VALUE"""),2938.0)</f>
      </c>
      <c r="M31" s="236">
        <f>IFERROR(__xludf.DUMMYFUNCTION("""COMPUTED_VALUE"""),5578.0)</f>
      </c>
      <c r="N31" s="233">
        <f>IFERROR(__xludf.DUMMYFUNCTION("""COMPUTED_VALUE"""),"Active")</f>
      </c>
      <c r="O31" s="241">
        <f>IFERROR(__xludf.DUMMYFUNCTION("""COMPUTED_VALUE"""),"AMP")</f>
      </c>
      <c r="P31" s="242">
        <f>IFERROR(__xludf.DUMMYFUNCTION("""COMPUTED_VALUE"""),45108.0)</f>
      </c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>
      <c r="B32" s="233">
        <f>IFERROR(__xludf.DUMMYFUNCTION("""COMPUTED_VALUE"""),"AMP")</f>
      </c>
      <c r="C32" s="233">
        <f>IFERROR(__xludf.DUMMYFUNCTION("""COMPUTED_VALUE"""),"Retail")</f>
      </c>
      <c r="D32" s="236">
        <f>IFERROR(__xludf.DUMMYFUNCTION("""COMPUTED_VALUE"""),78.0)</f>
      </c>
      <c r="E32" s="235">
        <f>IFERROR(__xludf.DUMMYFUNCTION("""COMPUTED_VALUE"""),0.00234)</f>
      </c>
      <c r="F32" s="236">
        <f>IFERROR(__xludf.DUMMYFUNCTION("""COMPUTED_VALUE"""),950.0)</f>
      </c>
      <c r="G32" s="235">
        <f>IFERROR(__xludf.DUMMYFUNCTION("""COMPUTED_VALUE"""),0.0027)</f>
      </c>
      <c r="H32" s="233">
        <f>IFERROR(__xludf.DUMMYFUNCTION("""COMPUTED_VALUE"""),"Nil")</f>
      </c>
      <c r="I32" s="236">
        <f>IFERROR(__xludf.DUMMYFUNCTION("""COMPUTED_VALUE"""),128.4)</f>
      </c>
      <c r="J32" s="236">
        <f>IFERROR(__xludf.DUMMYFUNCTION("""COMPUTED_VALUE"""),330.0)</f>
      </c>
      <c r="K32" s="236">
        <f>IFERROR(__xludf.DUMMYFUNCTION("""COMPUTED_VALUE"""),582.0)</f>
      </c>
      <c r="L32" s="236">
        <f>IFERROR(__xludf.DUMMYFUNCTION("""COMPUTED_VALUE"""),1338.0)</f>
      </c>
      <c r="M32" s="236">
        <f>IFERROR(__xludf.DUMMYFUNCTION("""COMPUTED_VALUE"""),2378.0)</f>
      </c>
      <c r="N32" s="233">
        <f>IFERROR(__xludf.DUMMYFUNCTION("""COMPUTED_VALUE"""),"Passive")</f>
      </c>
      <c r="O32" s="241">
        <f>IFERROR(__xludf.DUMMYFUNCTION("""COMPUTED_VALUE"""),"AMP")</f>
      </c>
      <c r="P32" s="242">
        <f>IFERROR(__xludf.DUMMYFUNCTION("""COMPUTED_VALUE"""),45108.0)</f>
      </c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>
      <c r="B33" s="233">
        <f>IFERROR(__xludf.DUMMYFUNCTION("""COMPUTED_VALUE"""),"ANZ")</f>
      </c>
      <c r="C33" s="233">
        <f>IFERROR(__xludf.DUMMYFUNCTION("""COMPUTED_VALUE"""),"Retail")</f>
      </c>
      <c r="D33" s="236">
        <f>IFERROR(__xludf.DUMMYFUNCTION("""COMPUTED_VALUE"""),60.0)</f>
      </c>
      <c r="E33" s="235">
        <f>IFERROR(__xludf.DUMMYFUNCTION("""COMPUTED_VALUE"""),0.0021)</f>
      </c>
      <c r="F33" s="236">
        <f>IFERROR(__xludf.DUMMYFUNCTION("""COMPUTED_VALUE"""),"NA")</f>
      </c>
      <c r="G33" s="235">
        <f>IFERROR(__xludf.DUMMYFUNCTION("""COMPUTED_VALUE"""),0.004)</f>
      </c>
      <c r="H33" s="233">
        <f>IFERROR(__xludf.DUMMYFUNCTION("""COMPUTED_VALUE"""),"Nil")</f>
      </c>
      <c r="I33" s="236">
        <f>IFERROR(__xludf.DUMMYFUNCTION("""COMPUTED_VALUE"""),121.0)</f>
      </c>
      <c r="J33" s="236">
        <f>IFERROR(__xludf.DUMMYFUNCTION("""COMPUTED_VALUE"""),365.0)</f>
      </c>
      <c r="K33" s="236">
        <f>IFERROR(__xludf.DUMMYFUNCTION("""COMPUTED_VALUE"""),670.0)</f>
      </c>
      <c r="L33" s="236">
        <f>IFERROR(__xludf.DUMMYFUNCTION("""COMPUTED_VALUE"""),1585.0)</f>
      </c>
      <c r="M33" s="236">
        <f>IFERROR(__xludf.DUMMYFUNCTION("""COMPUTED_VALUE"""),3110.0)</f>
      </c>
      <c r="N33" s="233">
        <f>IFERROR(__xludf.DUMMYFUNCTION("""COMPUTED_VALUE"""),"Active")</f>
      </c>
      <c r="O33" s="241">
        <f>IFERROR(__xludf.DUMMYFUNCTION("""COMPUTED_VALUE"""),"ANZ")</f>
      </c>
      <c r="P33" s="242">
        <f>IFERROR(__xludf.DUMMYFUNCTION("""COMPUTED_VALUE"""),44895.0)</f>
      </c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>
      <c r="B34" s="233">
        <f>IFERROR(__xludf.DUMMYFUNCTION("""COMPUTED_VALUE"""),"Mercer")</f>
      </c>
      <c r="C34" s="233">
        <f>IFERROR(__xludf.DUMMYFUNCTION("""COMPUTED_VALUE"""),"Retail")</f>
      </c>
      <c r="D34" s="236">
        <f>IFERROR(__xludf.DUMMYFUNCTION("""COMPUTED_VALUE"""),0.0)</f>
      </c>
      <c r="E34" s="235">
        <f>IFERROR(__xludf.DUMMYFUNCTION("""COMPUTED_VALUE"""),0.00167)</f>
      </c>
      <c r="F34" s="236">
        <f>IFERROR(__xludf.DUMMYFUNCTION("""COMPUTED_VALUE"""),835.0)</f>
      </c>
      <c r="G34" s="235">
        <f>IFERROR(__xludf.DUMMYFUNCTION("""COMPUTED_VALUE"""),0.0063)</f>
      </c>
      <c r="H34" s="233">
        <f>IFERROR(__xludf.DUMMYFUNCTION("""COMPUTED_VALUE"""),"Nil")</f>
      </c>
      <c r="I34" s="236">
        <f>IFERROR(__xludf.DUMMYFUNCTION("""COMPUTED_VALUE"""),79.7)</f>
      </c>
      <c r="J34" s="236">
        <f>IFERROR(__xludf.DUMMYFUNCTION("""COMPUTED_VALUE"""),398.5)</f>
      </c>
      <c r="K34" s="236">
        <f>IFERROR(__xludf.DUMMYFUNCTION("""COMPUTED_VALUE"""),797.0)</f>
      </c>
      <c r="L34" s="236">
        <f>IFERROR(__xludf.DUMMYFUNCTION("""COMPUTED_VALUE"""),1992.5)</f>
      </c>
      <c r="M34" s="236">
        <f>IFERROR(__xludf.DUMMYFUNCTION("""COMPUTED_VALUE"""),3985.0)</f>
      </c>
      <c r="N34" s="233">
        <f>IFERROR(__xludf.DUMMYFUNCTION("""COMPUTED_VALUE"""),"Active")</f>
      </c>
      <c r="O34" s="241">
        <f>IFERROR(__xludf.DUMMYFUNCTION("""COMPUTED_VALUE"""),"Mercer")</f>
      </c>
      <c r="P34" s="242">
        <f>IFERROR(__xludf.DUMMYFUNCTION("""COMPUTED_VALUE"""),45076.0)</f>
      </c>
      <c r="Q34" s="233">
        <f>IFERROR(__xludf.DUMMYFUNCTION("""COMPUTED_VALUE"""),"Mercer Diversified Shares option")</f>
      </c>
      <c r="R34" s="233"/>
      <c r="S34" s="233"/>
      <c r="T34" s="233"/>
      <c r="U34" s="233"/>
      <c r="V34" s="233"/>
      <c r="W34" s="233"/>
      <c r="X34" s="233"/>
      <c r="Y34" s="233"/>
      <c r="Z34" s="233"/>
    </row>
    <row r="35">
      <c r="B35" s="233">
        <f>IFERROR(__xludf.DUMMYFUNCTION("""COMPUTED_VALUE"""),"Mercer")</f>
      </c>
      <c r="C35" s="233">
        <f>IFERROR(__xludf.DUMMYFUNCTION("""COMPUTED_VALUE"""),"Retail")</f>
      </c>
      <c r="D35" s="236">
        <f>IFERROR(__xludf.DUMMYFUNCTION("""COMPUTED_VALUE"""),0.0)</f>
      </c>
      <c r="E35" s="235">
        <f>IFERROR(__xludf.DUMMYFUNCTION("""COMPUTED_VALUE"""),0.00167)</f>
      </c>
      <c r="F35" s="236">
        <f>IFERROR(__xludf.DUMMYFUNCTION("""COMPUTED_VALUE"""),835.0)</f>
      </c>
      <c r="G35" s="235">
        <f>IFERROR(__xludf.DUMMYFUNCTION("""COMPUTED_VALUE"""),0.0028)</f>
      </c>
      <c r="H35" s="233">
        <f>IFERROR(__xludf.DUMMYFUNCTION("""COMPUTED_VALUE"""),"Nil")</f>
      </c>
      <c r="I35" s="236">
        <f>IFERROR(__xludf.DUMMYFUNCTION("""COMPUTED_VALUE"""),44.7)</f>
      </c>
      <c r="J35" s="236">
        <f>IFERROR(__xludf.DUMMYFUNCTION("""COMPUTED_VALUE"""),223.5)</f>
      </c>
      <c r="K35" s="236">
        <f>IFERROR(__xludf.DUMMYFUNCTION("""COMPUTED_VALUE"""),447.0)</f>
      </c>
      <c r="L35" s="236">
        <f>IFERROR(__xludf.DUMMYFUNCTION("""COMPUTED_VALUE"""),1117.5)</f>
      </c>
      <c r="M35" s="236">
        <f>IFERROR(__xludf.DUMMYFUNCTION("""COMPUTED_VALUE"""),2235.0)</f>
      </c>
      <c r="N35" s="233">
        <f>IFERROR(__xludf.DUMMYFUNCTION("""COMPUTED_VALUE"""),"Passive")</f>
      </c>
      <c r="O35" s="241">
        <f>IFERROR(__xludf.DUMMYFUNCTION("""COMPUTED_VALUE"""),"Mercer")</f>
      </c>
      <c r="P35" s="242">
        <f>IFERROR(__xludf.DUMMYFUNCTION("""COMPUTED_VALUE"""),45076.0)</f>
      </c>
      <c r="Q35" s="233">
        <f>IFERROR(__xludf.DUMMYFUNCTION("""COMPUTED_VALUE"""),"Mercer Enhanced Passive High Growth option")</f>
      </c>
      <c r="R35" s="233"/>
      <c r="S35" s="233"/>
      <c r="T35" s="233"/>
      <c r="U35" s="233"/>
      <c r="V35" s="233"/>
      <c r="W35" s="233"/>
      <c r="X35" s="233"/>
      <c r="Y35" s="233"/>
      <c r="Z35" s="233"/>
    </row>
    <row r="36">
      <c r="B36" s="233">
        <f>IFERROR(__xludf.DUMMYFUNCTION("""COMPUTED_VALUE"""),"MLC")</f>
      </c>
      <c r="C36" s="233">
        <f>IFERROR(__xludf.DUMMYFUNCTION("""COMPUTED_VALUE"""),"Retail")</f>
      </c>
      <c r="D36" s="236">
        <f>IFERROR(__xludf.DUMMYFUNCTION("""COMPUTED_VALUE"""),78.0)</f>
      </c>
      <c r="E36" s="235">
        <f>IFERROR(__xludf.DUMMYFUNCTION("""COMPUTED_VALUE"""),0.0032)</f>
      </c>
      <c r="F36" s="236">
        <f>IFERROR(__xludf.DUMMYFUNCTION("""COMPUTED_VALUE"""),2500.0)</f>
      </c>
      <c r="G36" s="235">
        <f>IFERROR(__xludf.DUMMYFUNCTION("""COMPUTED_VALUE"""),0.0146)</f>
      </c>
      <c r="H36" s="233">
        <f>IFERROR(__xludf.DUMMYFUNCTION("""COMPUTED_VALUE"""),"0.15% / 0.15%")</f>
      </c>
      <c r="I36" s="236">
        <f>IFERROR(__xludf.DUMMYFUNCTION("""COMPUTED_VALUE"""),256.0)</f>
      </c>
      <c r="J36" s="236">
        <f>IFERROR(__xludf.DUMMYFUNCTION("""COMPUTED_VALUE"""),968.0)</f>
      </c>
      <c r="K36" s="236">
        <f>IFERROR(__xludf.DUMMYFUNCTION("""COMPUTED_VALUE"""),1858.0)</f>
      </c>
      <c r="L36" s="236">
        <f>IFERROR(__xludf.DUMMYFUNCTION("""COMPUTED_VALUE"""),4528.0)</f>
      </c>
      <c r="M36" s="236">
        <f>IFERROR(__xludf.DUMMYFUNCTION("""COMPUTED_VALUE"""),8978.0)</f>
      </c>
      <c r="N36" s="233">
        <f>IFERROR(__xludf.DUMMYFUNCTION("""COMPUTED_VALUE"""),"Active")</f>
      </c>
      <c r="O36" s="241">
        <f>IFERROR(__xludf.DUMMYFUNCTION("""COMPUTED_VALUE"""),"MLC")</f>
      </c>
      <c r="P36" s="242">
        <f>IFERROR(__xludf.DUMMYFUNCTION("""COMPUTED_VALUE"""),45072.0)</f>
      </c>
      <c r="Q36" s="233">
        <f>IFERROR(__xludf.DUMMYFUNCTION("""COMPUTED_VALUE"""),"Admin fee capped at $2,500 (excludes 0.02% levy fee). Percentage admin fee is 0.10% for remaining balance over $150,000. Fixed fee is deducted monthly if your account balance is below $50,000 when the percentage administration fee is deducted.")</f>
      </c>
      <c r="R36" s="233"/>
      <c r="S36" s="233"/>
      <c r="T36" s="233"/>
      <c r="U36" s="233"/>
      <c r="V36" s="233"/>
      <c r="W36" s="233"/>
      <c r="X36" s="233"/>
      <c r="Y36" s="233"/>
      <c r="Z36" s="233"/>
    </row>
    <row r="37">
      <c r="B37" s="233">
        <f>IFERROR(__xludf.DUMMYFUNCTION("""COMPUTED_VALUE"""),"MLC")</f>
      </c>
      <c r="C37" s="233">
        <f>IFERROR(__xludf.DUMMYFUNCTION("""COMPUTED_VALUE"""),"Retail")</f>
      </c>
      <c r="D37" s="236">
        <f>IFERROR(__xludf.DUMMYFUNCTION("""COMPUTED_VALUE"""),78.0)</f>
      </c>
      <c r="E37" s="235">
        <f>IFERROR(__xludf.DUMMYFUNCTION("""COMPUTED_VALUE"""),0.0032)</f>
      </c>
      <c r="F37" s="236">
        <f>IFERROR(__xludf.DUMMYFUNCTION("""COMPUTED_VALUE"""),2500.0)</f>
      </c>
      <c r="G37" s="235">
        <f>IFERROR(__xludf.DUMMYFUNCTION("""COMPUTED_VALUE"""),0.0029)</f>
      </c>
      <c r="H37" s="233">
        <f>IFERROR(__xludf.DUMMYFUNCTION("""COMPUTED_VALUE"""),"0.10% / 0.10%")</f>
      </c>
      <c r="I37" s="236">
        <f>IFERROR(__xludf.DUMMYFUNCTION("""COMPUTED_VALUE"""),139.0)</f>
      </c>
      <c r="J37" s="236">
        <f>IFERROR(__xludf.DUMMYFUNCTION("""COMPUTED_VALUE"""),383.0)</f>
      </c>
      <c r="K37" s="236">
        <f>IFERROR(__xludf.DUMMYFUNCTION("""COMPUTED_VALUE"""),688.0)</f>
      </c>
      <c r="L37" s="236">
        <f>IFERROR(__xludf.DUMMYFUNCTION("""COMPUTED_VALUE"""),1603.0)</f>
      </c>
      <c r="M37" s="236">
        <f>IFERROR(__xludf.DUMMYFUNCTION("""COMPUTED_VALUE"""),3128.0)</f>
      </c>
      <c r="N37" s="233">
        <f>IFERROR(__xludf.DUMMYFUNCTION("""COMPUTED_VALUE"""),"Passive")</f>
      </c>
      <c r="O37" s="241">
        <f>IFERROR(__xludf.DUMMYFUNCTION("""COMPUTED_VALUE"""),"MLC")</f>
      </c>
      <c r="P37" s="242">
        <f>IFERROR(__xludf.DUMMYFUNCTION("""COMPUTED_VALUE"""),45072.0)</f>
      </c>
      <c r="Q37" s="233">
        <f>IFERROR(__xludf.DUMMYFUNCTION("""COMPUTED_VALUE"""),"Admin fee capped at $2,500 (excludes 0.02% levy fee). Percentage admin fee is 0.10% for remaining balance over $150,000. Fixed fee is deducted monthly if your account balance is below $50,000 when the percentage administration fee is deducted.")</f>
      </c>
      <c r="R37" s="233"/>
      <c r="S37" s="233"/>
      <c r="T37" s="233"/>
      <c r="U37" s="233"/>
      <c r="V37" s="233"/>
      <c r="W37" s="233"/>
      <c r="X37" s="233"/>
      <c r="Y37" s="233"/>
      <c r="Z37" s="233"/>
    </row>
    <row r="38">
      <c r="B38" s="233">
        <f>IFERROR(__xludf.DUMMYFUNCTION("""COMPUTED_VALUE"""),"TelstraSuper")</f>
      </c>
      <c r="C38" s="233">
        <f>IFERROR(__xludf.DUMMYFUNCTION("""COMPUTED_VALUE"""),"Corporate ")</f>
      </c>
      <c r="D38" s="236">
        <f>IFERROR(__xludf.DUMMYFUNCTION("""COMPUTED_VALUE"""),52.0)</f>
      </c>
      <c r="E38" s="235">
        <f>IFERROR(__xludf.DUMMYFUNCTION("""COMPUTED_VALUE"""),0.0017)</f>
      </c>
      <c r="F38" s="236">
        <f>IFERROR(__xludf.DUMMYFUNCTION("""COMPUTED_VALUE"""),1700.0)</f>
      </c>
      <c r="G38" s="235">
        <f>IFERROR(__xludf.DUMMYFUNCTION("""COMPUTED_VALUE"""),0.0086)</f>
      </c>
      <c r="H38" s="233">
        <f>IFERROR(__xludf.DUMMYFUNCTION("""COMPUTED_VALUE"""),"Nil")</f>
      </c>
      <c r="I38" s="236">
        <f>IFERROR(__xludf.DUMMYFUNCTION("""COMPUTED_VALUE"""),155.0)</f>
      </c>
      <c r="J38" s="236">
        <f>IFERROR(__xludf.DUMMYFUNCTION("""COMPUTED_VALUE"""),567.0)</f>
      </c>
      <c r="K38" s="236">
        <f>IFERROR(__xludf.DUMMYFUNCTION("""COMPUTED_VALUE"""),1082.0)</f>
      </c>
      <c r="L38" s="236">
        <f>IFERROR(__xludf.DUMMYFUNCTION("""COMPUTED_VALUE"""),2627.0)</f>
      </c>
      <c r="M38" s="236">
        <f>IFERROR(__xludf.DUMMYFUNCTION("""COMPUTED_VALUE"""),5202.0)</f>
      </c>
      <c r="N38" s="233">
        <f>IFERROR(__xludf.DUMMYFUNCTION("""COMPUTED_VALUE"""),"Active")</f>
      </c>
      <c r="O38" s="241">
        <f>IFERROR(__xludf.DUMMYFUNCTION("""COMPUTED_VALUE"""),"TelstraSuper")</f>
      </c>
      <c r="P38" s="242">
        <f>IFERROR(__xludf.DUMMYFUNCTION("""COMPUTED_VALUE"""),45117.0)</f>
      </c>
      <c r="Q38" s="233">
        <f>IFERROR(__xludf.DUMMYFUNCTION("""COMPUTED_VALUE"""),"ESG Integration")</f>
      </c>
      <c r="R38" s="233"/>
      <c r="S38" s="233"/>
      <c r="T38" s="233"/>
      <c r="U38" s="233"/>
      <c r="V38" s="233"/>
      <c r="W38" s="233"/>
      <c r="X38" s="233"/>
      <c r="Y38" s="233"/>
      <c r="Z38" s="233"/>
    </row>
    <row r="39">
      <c r="B39" s="233">
        <f>IFERROR(__xludf.DUMMYFUNCTION("""COMPUTED_VALUE"""),"PSSap")</f>
      </c>
      <c r="C39" s="233">
        <f>IFERROR(__xludf.DUMMYFUNCTION("""COMPUTED_VALUE"""),"Public sector")</f>
      </c>
      <c r="D39" s="236">
        <f>IFERROR(__xludf.DUMMYFUNCTION("""COMPUTED_VALUE"""),84.0)</f>
      </c>
      <c r="E39" s="235">
        <f>IFERROR(__xludf.DUMMYFUNCTION("""COMPUTED_VALUE"""),0.0)</f>
      </c>
      <c r="F39" s="236">
        <f>IFERROR(__xludf.DUMMYFUNCTION("""COMPUTED_VALUE"""),"NA")</f>
      </c>
      <c r="G39" s="235">
        <f>IFERROR(__xludf.DUMMYFUNCTION("""COMPUTED_VALUE"""),0.009)</f>
      </c>
      <c r="H39" s="233">
        <f>IFERROR(__xludf.DUMMYFUNCTION("""COMPUTED_VALUE"""),"0.15% / 0.14%")</f>
      </c>
      <c r="I39" s="236">
        <f>IFERROR(__xludf.DUMMYFUNCTION("""COMPUTED_VALUE"""),174.0)</f>
      </c>
      <c r="J39" s="236">
        <f>IFERROR(__xludf.DUMMYFUNCTION("""COMPUTED_VALUE"""),534.0)</f>
      </c>
      <c r="K39" s="236">
        <f>IFERROR(__xludf.DUMMYFUNCTION("""COMPUTED_VALUE"""),983.9999999999999)</f>
      </c>
      <c r="L39" s="236">
        <f>IFERROR(__xludf.DUMMYFUNCTION("""COMPUTED_VALUE"""),2334.0)</f>
      </c>
      <c r="M39" s="236">
        <f>IFERROR(__xludf.DUMMYFUNCTION("""COMPUTED_VALUE"""),4584.0)</f>
      </c>
      <c r="N39" s="233">
        <f>IFERROR(__xludf.DUMMYFUNCTION("""COMPUTED_VALUE"""),"Active")</f>
      </c>
      <c r="O39" s="241">
        <f>IFERROR(__xludf.DUMMYFUNCTION("""COMPUTED_VALUE"""),"PSSap")</f>
      </c>
      <c r="P39" s="242">
        <f>IFERROR(__xludf.DUMMYFUNCTION("""COMPUTED_VALUE"""),44986.0)</f>
      </c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>
      <c r="B41" s="232">
        <f>IFERROR(__xludf.DUMMYFUNCTION("IMPORTRANGE(""https://docs.google.com/spreadsheets/d/1A2a_CIOEK-POlkK616JVZN4ouhsUMkdiZXm1KiJuqJQ/edit#gid=814241220"",""Performance!A1:E300"")"),"Performance ending 30 June 2023")</f>
      </c>
      <c r="C41" s="233"/>
      <c r="D41" s="233"/>
      <c r="E41" s="233"/>
      <c r="F41" s="233"/>
    </row>
    <row r="42">
      <c r="B42" s="233">
        <f>IFERROR(__xludf.DUMMYFUNCTION("""COMPUTED_VALUE"""),"Select Australian allocation:")</f>
      </c>
      <c r="C42" s="254">
        <f>IFERROR(__xludf.DUMMYFUNCTION("""COMPUTED_VALUE"""),0.4)</f>
      </c>
      <c r="D42" s="233"/>
      <c r="E42" s="233"/>
      <c r="F42" s="233"/>
    </row>
    <row r="43">
      <c r="B43" s="233">
        <f>IFERROR(__xludf.DUMMYFUNCTION("""COMPUTED_VALUE"""),"Past performance does not indicate future results.")</f>
      </c>
      <c r="C43" s="233"/>
      <c r="D43" s="233"/>
      <c r="E43" s="233"/>
      <c r="F43" s="233"/>
    </row>
    <row r="44">
      <c r="B44" s="233">
        <f>IFERROR(__xludf.DUMMYFUNCTION("""COMPUTED_VALUE"""),"Super fund")</f>
      </c>
      <c r="C44" s="233"/>
      <c r="D44" s="233">
        <f>IFERROR(__xludf.DUMMYFUNCTION("""COMPUTED_VALUE"""),"Performance")</f>
      </c>
      <c r="E44" s="233"/>
      <c r="F44" s="233"/>
    </row>
    <row r="45">
      <c r="B45" s="233">
        <f>IFERROR(__xludf.DUMMYFUNCTION("""COMPUTED_VALUE"""),"Name")</f>
      </c>
      <c r="C45" s="233">
        <f>IFERROR(__xludf.DUMMYFUNCTION("""COMPUTED_VALUE"""),"Option")</f>
      </c>
      <c r="D45" s="234">
        <f>IFERROR(__xludf.DUMMYFUNCTION("""COMPUTED_VALUE"""),"1 year")</f>
      </c>
      <c r="E45" s="233">
        <f>IFERROR(__xludf.DUMMYFUNCTION("""COMPUTED_VALUE"""),"3 years")</f>
      </c>
      <c r="F45" s="234">
        <f>IFERROR(__xludf.DUMMYFUNCTION("""COMPUTED_VALUE"""),"5 years")</f>
      </c>
      <c r="G45" s="209" t="s">
        <v>164</v>
      </c>
      <c r="H45" s="209" t="s">
        <v>165</v>
      </c>
      <c r="I45" s="209" t="s">
        <v>166</v>
      </c>
    </row>
    <row r="46">
      <c r="B46" s="233">
        <f>IFERROR(__xludf.DUMMYFUNCTION("""COMPUTED_VALUE"""),"Aware Super")</f>
      </c>
      <c r="C46" s="233">
        <f>IFERROR(__xludf.DUMMYFUNCTION("""COMPUTED_VALUE"""),"Aus shares")</f>
      </c>
      <c r="D46" s="235">
        <f>IFERROR(__xludf.DUMMYFUNCTION("""COMPUTED_VALUE"""),0.1357)</f>
      </c>
      <c r="E46" s="235">
        <f>IFERROR(__xludf.DUMMYFUNCTION("""COMPUTED_VALUE"""),0.1122)</f>
      </c>
      <c r="F46" s="235">
        <f>IFERROR(__xludf.DUMMYFUNCTION("""COMPUTED_VALUE"""),0.0775)</f>
      </c>
      <c r="G46" s="235">
        <f t="shared" ref="G46:G158" si="1">IFERROR(AVERAGEIF($B$46:$B$158, B46, $D$46:$D$158), "")</f>
      </c>
      <c r="H46" s="235">
        <f t="shared" ref="H46:H158" si="2">IFERROR(AVERAGEIF($B$46:$B$158, B46, $E$46:$E$158), "")</f>
      </c>
      <c r="I46" s="235">
        <f t="shared" ref="I46:I158" si="3">IFERROR(AVERAGEIF($B$46:$B$158, B46, $F$46:$F$158), "")</f>
      </c>
    </row>
    <row r="47">
      <c r="B47" s="233">
        <f>IFERROR(__xludf.DUMMYFUNCTION("""COMPUTED_VALUE"""),"Aware Super")</f>
      </c>
      <c r="C47" s="233">
        <f>IFERROR(__xludf.DUMMYFUNCTION("""COMPUTED_VALUE"""),"Int shares")</f>
      </c>
      <c r="D47" s="235">
        <f>IFERROR(__xludf.DUMMYFUNCTION("""COMPUTED_VALUE"""),0.2072)</f>
      </c>
      <c r="E47" s="235">
        <f>IFERROR(__xludf.DUMMYFUNCTION("""COMPUTED_VALUE"""),0.1211)</f>
      </c>
      <c r="F47" s="235">
        <f>IFERROR(__xludf.DUMMYFUNCTION("""COMPUTED_VALUE"""),0.1063)</f>
      </c>
      <c r="G47" s="235">
        <f t="shared" si="1"/>
      </c>
      <c r="H47" s="235">
        <f t="shared" si="2"/>
      </c>
      <c r="I47" s="235">
        <f t="shared" si="3"/>
      </c>
    </row>
    <row r="48">
      <c r="B48" s="233">
        <f>IFERROR(__xludf.DUMMYFUNCTION("""COMPUTED_VALUE"""),"Aware Super")</f>
      </c>
      <c r="C48" s="233">
        <f>IFERROR(__xludf.DUMMYFUNCTION("""COMPUTED_VALUE"""),"Aus &amp; Int shares")</f>
      </c>
      <c r="D48" s="235">
        <f>IFERROR(__xludf.DUMMYFUNCTION("""COMPUTED_VALUE"""),0.17859999999999998)</f>
      </c>
      <c r="E48" s="235">
        <f>IFERROR(__xludf.DUMMYFUNCTION("""COMPUTED_VALUE"""),0.11754)</f>
      </c>
      <c r="F48" s="235">
        <f>IFERROR(__xludf.DUMMYFUNCTION("""COMPUTED_VALUE"""),0.09478)</f>
      </c>
      <c r="G48" s="235">
        <f t="shared" si="1"/>
      </c>
      <c r="H48" s="235">
        <f t="shared" si="2"/>
      </c>
      <c r="I48" s="235">
        <f t="shared" si="3"/>
      </c>
    </row>
    <row r="49">
      <c r="B49" s="233">
        <f>IFERROR(__xludf.DUMMYFUNCTION("""COMPUTED_VALUE"""),"Aware Super")</f>
      </c>
      <c r="C49" s="233">
        <f>IFERROR(__xludf.DUMMYFUNCTION("""COMPUTED_VALUE"""),"High Growth")</f>
      </c>
      <c r="D49" s="235">
        <f>IFERROR(__xludf.DUMMYFUNCTION("""COMPUTED_VALUE"""),0.1072)</f>
      </c>
      <c r="E49" s="235">
        <f>IFERROR(__xludf.DUMMYFUNCTION("""COMPUTED_VALUE"""),0.0956)</f>
      </c>
      <c r="F49" s="235">
        <f>IFERROR(__xludf.DUMMYFUNCTION("""COMPUTED_VALUE"""),0.0764)</f>
      </c>
      <c r="G49" s="235">
        <f t="shared" si="1"/>
      </c>
      <c r="H49" s="235">
        <f t="shared" si="2"/>
      </c>
      <c r="I49" s="235">
        <f t="shared" si="3"/>
      </c>
    </row>
    <row r="50">
      <c r="B50" s="233">
        <f>IFERROR(__xludf.DUMMYFUNCTION("""COMPUTED_VALUE"""),"ART")</f>
      </c>
      <c r="C50" s="233">
        <f>IFERROR(__xludf.DUMMYFUNCTION("""COMPUTED_VALUE"""),"Aus shares")</f>
      </c>
      <c r="D50" s="235">
        <f>IFERROR(__xludf.DUMMYFUNCTION("""COMPUTED_VALUE"""),0.1407)</f>
      </c>
      <c r="E50" s="235">
        <f>IFERROR(__xludf.DUMMYFUNCTION("""COMPUTED_VALUE"""),0.116)</f>
      </c>
      <c r="F50" s="235">
        <f>IFERROR(__xludf.DUMMYFUNCTION("""COMPUTED_VALUE"""),0.0709)</f>
      </c>
      <c r="G50" s="235">
        <f t="shared" si="1"/>
      </c>
      <c r="H50" s="235">
        <f t="shared" si="2"/>
      </c>
      <c r="I50" s="235">
        <f t="shared" si="3"/>
      </c>
    </row>
    <row r="51">
      <c r="B51" s="233">
        <f>IFERROR(__xludf.DUMMYFUNCTION("""COMPUTED_VALUE"""),"ART")</f>
      </c>
      <c r="C51" s="233">
        <f>IFERROR(__xludf.DUMMYFUNCTION("""COMPUTED_VALUE"""),"Aus shares")</f>
      </c>
      <c r="D51" s="235">
        <f>IFERROR(__xludf.DUMMYFUNCTION("""COMPUTED_VALUE"""),0.1424)</f>
      </c>
      <c r="E51" s="235">
        <f>IFERROR(__xludf.DUMMYFUNCTION("""COMPUTED_VALUE"""),0.1123)</f>
      </c>
      <c r="F51" s="235">
        <f>IFERROR(__xludf.DUMMYFUNCTION("""COMPUTED_VALUE"""),0.0768)</f>
      </c>
      <c r="G51" s="235">
        <f t="shared" si="1"/>
      </c>
      <c r="H51" s="235">
        <f t="shared" si="2"/>
      </c>
      <c r="I51" s="235">
        <f t="shared" si="3"/>
      </c>
    </row>
    <row r="52">
      <c r="B52" s="233">
        <f>IFERROR(__xludf.DUMMYFUNCTION("""COMPUTED_VALUE"""),"ART")</f>
      </c>
      <c r="C52" s="233">
        <f>IFERROR(__xludf.DUMMYFUNCTION("""COMPUTED_VALUE"""),"Int shares")</f>
      </c>
      <c r="D52" s="235">
        <f>IFERROR(__xludf.DUMMYFUNCTION("""COMPUTED_VALUE"""),0.2037)</f>
      </c>
      <c r="E52" s="235">
        <f>IFERROR(__xludf.DUMMYFUNCTION("""COMPUTED_VALUE"""),0.1238)</f>
      </c>
      <c r="F52" s="235">
        <f>IFERROR(__xludf.DUMMYFUNCTION("""COMPUTED_VALUE"""),0.1013)</f>
      </c>
      <c r="G52" s="235">
        <f t="shared" si="1"/>
      </c>
      <c r="H52" s="235">
        <f t="shared" si="2"/>
      </c>
      <c r="I52" s="235">
        <f t="shared" si="3"/>
      </c>
    </row>
    <row r="53">
      <c r="B53" s="233">
        <f>IFERROR(__xludf.DUMMYFUNCTION("""COMPUTED_VALUE"""),"ART")</f>
      </c>
      <c r="C53" s="233">
        <f>IFERROR(__xludf.DUMMYFUNCTION("""COMPUTED_VALUE"""),"Aus &amp; Int shares")</f>
      </c>
      <c r="D53" s="235">
        <f>IFERROR(__xludf.DUMMYFUNCTION("""COMPUTED_VALUE"""),0.17918)</f>
      </c>
      <c r="E53" s="235">
        <f>IFERROR(__xludf.DUMMYFUNCTION("""COMPUTED_VALUE"""),0.1192)</f>
      </c>
      <c r="F53" s="235">
        <f>IFERROR(__xludf.DUMMYFUNCTION("""COMPUTED_VALUE"""),0.0915)</f>
      </c>
      <c r="G53" s="235">
        <f t="shared" si="1"/>
      </c>
      <c r="H53" s="235">
        <f t="shared" si="2"/>
      </c>
      <c r="I53" s="235">
        <f t="shared" si="3"/>
      </c>
    </row>
    <row r="54">
      <c r="B54" s="233">
        <f>IFERROR(__xludf.DUMMYFUNCTION("""COMPUTED_VALUE"""),"ART")</f>
      </c>
      <c r="C54" s="233">
        <f>IFERROR(__xludf.DUMMYFUNCTION("""COMPUTED_VALUE"""),"High Growth")</f>
      </c>
      <c r="D54" s="235">
        <f>IFERROR(__xludf.DUMMYFUNCTION("""COMPUTED_VALUE"""),0.1196)</f>
      </c>
      <c r="E54" s="235">
        <f>IFERROR(__xludf.DUMMYFUNCTION("""COMPUTED_VALUE"""),0.1195)</f>
      </c>
      <c r="F54" s="235">
        <f>IFERROR(__xludf.DUMMYFUNCTION("""COMPUTED_VALUE"""),0.0836)</f>
      </c>
      <c r="G54" s="235">
        <f t="shared" si="1"/>
      </c>
      <c r="H54" s="235">
        <f t="shared" si="2"/>
      </c>
      <c r="I54" s="235">
        <f t="shared" si="3"/>
      </c>
    </row>
    <row r="55">
      <c r="B55" s="233">
        <f>IFERROR(__xludf.DUMMYFUNCTION("""COMPUTED_VALUE"""),"Qsuper")</f>
      </c>
      <c r="C55" s="233">
        <f>IFERROR(__xludf.DUMMYFUNCTION("""COMPUTED_VALUE"""),"Aus shares")</f>
      </c>
      <c r="D55" s="235">
        <f>IFERROR(__xludf.DUMMYFUNCTION("""COMPUTED_VALUE"""),0.0999)</f>
      </c>
      <c r="E55" s="235">
        <f>IFERROR(__xludf.DUMMYFUNCTION("""COMPUTED_VALUE"""),0.1031)</f>
      </c>
      <c r="F55" s="235">
        <f>IFERROR(__xludf.DUMMYFUNCTION("""COMPUTED_VALUE"""),0.0684)</f>
      </c>
      <c r="G55" s="235">
        <f t="shared" si="1"/>
      </c>
      <c r="H55" s="235">
        <f t="shared" si="2"/>
      </c>
      <c r="I55" s="235">
        <f t="shared" si="3"/>
      </c>
    </row>
    <row r="56">
      <c r="B56" s="233">
        <f>IFERROR(__xludf.DUMMYFUNCTION("""COMPUTED_VALUE"""),"Qsuper")</f>
      </c>
      <c r="C56" s="233">
        <f>IFERROR(__xludf.DUMMYFUNCTION("""COMPUTED_VALUE"""),"Int shares")</f>
      </c>
      <c r="D56" s="235">
        <f>IFERROR(__xludf.DUMMYFUNCTION("""COMPUTED_VALUE"""),0.1188)</f>
      </c>
      <c r="E56" s="235">
        <f>IFERROR(__xludf.DUMMYFUNCTION("""COMPUTED_VALUE"""),0.1081)</f>
      </c>
      <c r="F56" s="235">
        <f>IFERROR(__xludf.DUMMYFUNCTION("""COMPUTED_VALUE"""),0.0783)</f>
      </c>
      <c r="G56" s="235">
        <f t="shared" si="1"/>
      </c>
      <c r="H56" s="235">
        <f t="shared" si="2"/>
      </c>
      <c r="I56" s="235">
        <f t="shared" si="3"/>
      </c>
    </row>
    <row r="57">
      <c r="B57" s="233">
        <f>IFERROR(__xludf.DUMMYFUNCTION("""COMPUTED_VALUE"""),"Qsuper")</f>
      </c>
      <c r="C57" s="233">
        <f>IFERROR(__xludf.DUMMYFUNCTION("""COMPUTED_VALUE"""),"Aus &amp; Int shares")</f>
      </c>
      <c r="D57" s="235">
        <f>IFERROR(__xludf.DUMMYFUNCTION("""COMPUTED_VALUE"""),0.11124)</f>
      </c>
      <c r="E57" s="235">
        <f>IFERROR(__xludf.DUMMYFUNCTION("""COMPUTED_VALUE"""),0.1061)</f>
      </c>
      <c r="F57" s="235">
        <f>IFERROR(__xludf.DUMMYFUNCTION("""COMPUTED_VALUE"""),0.07433999999999999)</f>
      </c>
      <c r="G57" s="235">
        <f t="shared" si="1"/>
      </c>
      <c r="H57" s="235">
        <f t="shared" si="2"/>
      </c>
      <c r="I57" s="235">
        <f t="shared" si="3"/>
      </c>
    </row>
    <row r="58">
      <c r="B58" s="233">
        <f>IFERROR(__xludf.DUMMYFUNCTION("""COMPUTED_VALUE"""),"Qsuper")</f>
      </c>
      <c r="C58" s="233">
        <f>IFERROR(__xludf.DUMMYFUNCTION("""COMPUTED_VALUE"""),"High Growth")</f>
      </c>
      <c r="D58" s="235">
        <f>IFERROR(__xludf.DUMMYFUNCTION("""COMPUTED_VALUE"""),0.0453)</f>
      </c>
      <c r="E58" s="235">
        <f>IFERROR(__xludf.DUMMYFUNCTION("""COMPUTED_VALUE"""),0.0611)</f>
      </c>
      <c r="F58" s="235">
        <f>IFERROR(__xludf.DUMMYFUNCTION("""COMPUTED_VALUE"""),0.055)</f>
      </c>
      <c r="G58" s="235">
        <f t="shared" si="1"/>
      </c>
      <c r="H58" s="235">
        <f t="shared" si="2"/>
      </c>
      <c r="I58" s="235">
        <f t="shared" si="3"/>
      </c>
    </row>
    <row r="59">
      <c r="B59" s="233">
        <f>IFERROR(__xludf.DUMMYFUNCTION("""COMPUTED_VALUE"""),"Hostplus")</f>
      </c>
      <c r="C59" s="233">
        <f>IFERROR(__xludf.DUMMYFUNCTION("""COMPUTED_VALUE"""),"Aus shares")</f>
      </c>
      <c r="D59" s="235">
        <f>IFERROR(__xludf.DUMMYFUNCTION("""COMPUTED_VALUE"""),0.1417)</f>
      </c>
      <c r="E59" s="235">
        <f>IFERROR(__xludf.DUMMYFUNCTION("""COMPUTED_VALUE"""),0.123)</f>
      </c>
      <c r="F59" s="235">
        <f>IFERROR(__xludf.DUMMYFUNCTION("""COMPUTED_VALUE"""),0.074)</f>
      </c>
      <c r="G59" s="235">
        <f t="shared" si="1"/>
      </c>
      <c r="H59" s="235">
        <f t="shared" si="2"/>
      </c>
      <c r="I59" s="235">
        <f t="shared" si="3"/>
      </c>
    </row>
    <row r="60">
      <c r="B60" s="233">
        <f>IFERROR(__xludf.DUMMYFUNCTION("""COMPUTED_VALUE"""),"Hostplus")</f>
      </c>
      <c r="C60" s="233">
        <f>IFERROR(__xludf.DUMMYFUNCTION("""COMPUTED_VALUE"""),"Aus shares")</f>
      </c>
      <c r="D60" s="235">
        <f>IFERROR(__xludf.DUMMYFUNCTION("""COMPUTED_VALUE"""),0.1432)</f>
      </c>
      <c r="E60" s="233"/>
      <c r="F60" s="233"/>
      <c r="G60" s="235">
        <f t="shared" si="1"/>
      </c>
      <c r="H60" s="235">
        <f t="shared" si="2"/>
      </c>
      <c r="I60" s="235">
        <f t="shared" si="3"/>
      </c>
    </row>
    <row r="61">
      <c r="B61" s="233">
        <f>IFERROR(__xludf.DUMMYFUNCTION("""COMPUTED_VALUE"""),"Hostplus")</f>
      </c>
      <c r="C61" s="233">
        <f>IFERROR(__xludf.DUMMYFUNCTION("""COMPUTED_VALUE"""),"Int shares")</f>
      </c>
      <c r="D61" s="235">
        <f>IFERROR(__xludf.DUMMYFUNCTION("""COMPUTED_VALUE"""),0.1516)</f>
      </c>
      <c r="E61" s="235">
        <f>IFERROR(__xludf.DUMMYFUNCTION("""COMPUTED_VALUE"""),0.0794)</f>
      </c>
      <c r="F61" s="235">
        <f>IFERROR(__xludf.DUMMYFUNCTION("""COMPUTED_VALUE"""),0.0728)</f>
      </c>
      <c r="G61" s="235">
        <f t="shared" si="1"/>
      </c>
      <c r="H61" s="235">
        <f t="shared" si="2"/>
      </c>
      <c r="I61" s="235">
        <f t="shared" si="3"/>
      </c>
    </row>
    <row r="62">
      <c r="B62" s="233">
        <f>IFERROR(__xludf.DUMMYFUNCTION("""COMPUTED_VALUE"""),"Hostplus")</f>
      </c>
      <c r="C62" s="233">
        <f>IFERROR(__xludf.DUMMYFUNCTION("""COMPUTED_VALUE"""),"Int shares")</f>
      </c>
      <c r="D62" s="235">
        <f>IFERROR(__xludf.DUMMYFUNCTION("""COMPUTED_VALUE"""),0.2035)</f>
      </c>
      <c r="E62" s="235">
        <f>IFERROR(__xludf.DUMMYFUNCTION("""COMPUTED_VALUE"""),0.123)</f>
      </c>
      <c r="F62" s="235">
        <f>IFERROR(__xludf.DUMMYFUNCTION("""COMPUTED_VALUE"""),0.1045)</f>
      </c>
      <c r="G62" s="235">
        <f t="shared" si="1"/>
      </c>
      <c r="H62" s="235">
        <f t="shared" si="2"/>
      </c>
      <c r="I62" s="235">
        <f t="shared" si="3"/>
      </c>
    </row>
    <row r="63">
      <c r="B63" s="233">
        <f>IFERROR(__xludf.DUMMYFUNCTION("""COMPUTED_VALUE"""),"Hostplus")</f>
      </c>
      <c r="C63" s="233">
        <f>IFERROR(__xludf.DUMMYFUNCTION("""COMPUTED_VALUE"""),"Aus &amp; Int shares")</f>
      </c>
      <c r="D63" s="235">
        <f>IFERROR(__xludf.DUMMYFUNCTION("""COMPUTED_VALUE"""),0.14764)</f>
      </c>
      <c r="E63" s="235">
        <f>IFERROR(__xludf.DUMMYFUNCTION("""COMPUTED_VALUE"""),0.09684)</f>
      </c>
      <c r="F63" s="235">
        <f>IFERROR(__xludf.DUMMYFUNCTION("""COMPUTED_VALUE"""),0.07328000000000001)</f>
      </c>
      <c r="G63" s="235">
        <f t="shared" si="1"/>
      </c>
      <c r="H63" s="235">
        <f t="shared" si="2"/>
      </c>
      <c r="I63" s="235">
        <f t="shared" si="3"/>
      </c>
    </row>
    <row r="64">
      <c r="B64" s="233">
        <f>IFERROR(__xludf.DUMMYFUNCTION("""COMPUTED_VALUE"""),"Hostplus")</f>
      </c>
      <c r="C64" s="233">
        <f>IFERROR(__xludf.DUMMYFUNCTION("""COMPUTED_VALUE"""),"Aus &amp; Int shares")</f>
      </c>
      <c r="D64" s="235">
        <f>IFERROR(__xludf.DUMMYFUNCTION("""COMPUTED_VALUE"""),0.17937999999999998)</f>
      </c>
      <c r="E64" s="233"/>
      <c r="F64" s="233"/>
      <c r="G64" s="235">
        <f t="shared" si="1"/>
      </c>
      <c r="H64" s="235">
        <f t="shared" si="2"/>
      </c>
      <c r="I64" s="235">
        <f t="shared" si="3"/>
      </c>
    </row>
    <row r="65">
      <c r="B65" s="233">
        <f>IFERROR(__xludf.DUMMYFUNCTION("""COMPUTED_VALUE"""),"Hostplus")</f>
      </c>
      <c r="C65" s="233">
        <f>IFERROR(__xludf.DUMMYFUNCTION("""COMPUTED_VALUE"""),"High Growth")</f>
      </c>
      <c r="D65" s="235">
        <f>IFERROR(__xludf.DUMMYFUNCTION("""COMPUTED_VALUE"""),0.1122)</f>
      </c>
      <c r="E65" s="235">
        <f>IFERROR(__xludf.DUMMYFUNCTION("""COMPUTED_VALUE"""),0.1034)</f>
      </c>
      <c r="F65" s="235">
        <f>IFERROR(__xludf.DUMMYFUNCTION("""COMPUTED_VALUE"""),0.0756)</f>
      </c>
      <c r="G65" s="235">
        <f t="shared" si="1"/>
      </c>
      <c r="H65" s="235">
        <f t="shared" si="2"/>
      </c>
      <c r="I65" s="235">
        <f t="shared" si="3"/>
      </c>
    </row>
    <row r="66">
      <c r="B66" s="233">
        <f>IFERROR(__xludf.DUMMYFUNCTION("""COMPUTED_VALUE"""),"Rest")</f>
      </c>
      <c r="C66" s="233">
        <f>IFERROR(__xludf.DUMMYFUNCTION("""COMPUTED_VALUE"""),"Aus shares")</f>
      </c>
      <c r="D66" s="235">
        <f>IFERROR(__xludf.DUMMYFUNCTION("""COMPUTED_VALUE"""),0.148)</f>
      </c>
      <c r="E66" s="235">
        <f>IFERROR(__xludf.DUMMYFUNCTION("""COMPUTED_VALUE"""),0.1174)</f>
      </c>
      <c r="F66" s="235">
        <f>IFERROR(__xludf.DUMMYFUNCTION("""COMPUTED_VALUE"""),0.0676)</f>
      </c>
      <c r="G66" s="235">
        <f t="shared" si="1"/>
      </c>
      <c r="H66" s="235">
        <f t="shared" si="2"/>
      </c>
      <c r="I66" s="235">
        <f t="shared" si="3"/>
      </c>
    </row>
    <row r="67">
      <c r="B67" s="233">
        <f>IFERROR(__xludf.DUMMYFUNCTION("""COMPUTED_VALUE"""),"Rest")</f>
      </c>
      <c r="C67" s="233">
        <f>IFERROR(__xludf.DUMMYFUNCTION("""COMPUTED_VALUE"""),"Aus shares")</f>
      </c>
      <c r="D67" s="235">
        <f>IFERROR(__xludf.DUMMYFUNCTION("""COMPUTED_VALUE"""),0.1455)</f>
      </c>
      <c r="E67" s="235">
        <f>IFERROR(__xludf.DUMMYFUNCTION("""COMPUTED_VALUE"""),0.1084)</f>
      </c>
      <c r="F67" s="233"/>
      <c r="G67" s="235">
        <f t="shared" si="1"/>
      </c>
      <c r="H67" s="235">
        <f t="shared" si="2"/>
      </c>
      <c r="I67" s="235">
        <f t="shared" si="3"/>
      </c>
    </row>
    <row r="68">
      <c r="B68" s="233">
        <f>IFERROR(__xludf.DUMMYFUNCTION("""COMPUTED_VALUE"""),"Rest")</f>
      </c>
      <c r="C68" s="233">
        <f>IFERROR(__xludf.DUMMYFUNCTION("""COMPUTED_VALUE"""),"Int shares")</f>
      </c>
      <c r="D68" s="235">
        <f>IFERROR(__xludf.DUMMYFUNCTION("""COMPUTED_VALUE"""),0.192)</f>
      </c>
      <c r="E68" s="235">
        <f>IFERROR(__xludf.DUMMYFUNCTION("""COMPUTED_VALUE"""),0.1136)</f>
      </c>
      <c r="F68" s="235">
        <f>IFERROR(__xludf.DUMMYFUNCTION("""COMPUTED_VALUE"""),0.0815)</f>
      </c>
      <c r="G68" s="235">
        <f t="shared" si="1"/>
      </c>
      <c r="H68" s="235">
        <f t="shared" si="2"/>
      </c>
      <c r="I68" s="235">
        <f t="shared" si="3"/>
      </c>
    </row>
    <row r="69">
      <c r="B69" s="233">
        <f>IFERROR(__xludf.DUMMYFUNCTION("""COMPUTED_VALUE"""),"Rest")</f>
      </c>
      <c r="C69" s="233">
        <f>IFERROR(__xludf.DUMMYFUNCTION("""COMPUTED_VALUE"""),"Int shares")</f>
      </c>
      <c r="D69" s="235">
        <f>IFERROR(__xludf.DUMMYFUNCTION("""COMPUTED_VALUE"""),0.2054)</f>
      </c>
      <c r="E69" s="235">
        <f>IFERROR(__xludf.DUMMYFUNCTION("""COMPUTED_VALUE"""),0.1233)</f>
      </c>
      <c r="F69" s="233"/>
      <c r="G69" s="235">
        <f t="shared" si="1"/>
      </c>
      <c r="H69" s="235">
        <f t="shared" si="2"/>
      </c>
      <c r="I69" s="235">
        <f t="shared" si="3"/>
      </c>
    </row>
    <row r="70">
      <c r="B70" s="233">
        <f>IFERROR(__xludf.DUMMYFUNCTION("""COMPUTED_VALUE"""),"Rest")</f>
      </c>
      <c r="C70" s="233">
        <f>IFERROR(__xludf.DUMMYFUNCTION("""COMPUTED_VALUE"""),"Aus &amp; Int shares")</f>
      </c>
      <c r="D70" s="235">
        <f>IFERROR(__xludf.DUMMYFUNCTION("""COMPUTED_VALUE"""),0.1744)</f>
      </c>
      <c r="E70" s="235">
        <f>IFERROR(__xludf.DUMMYFUNCTION("""COMPUTED_VALUE"""),0.11512)</f>
      </c>
      <c r="F70" s="235">
        <f>IFERROR(__xludf.DUMMYFUNCTION("""COMPUTED_VALUE"""),0.07594)</f>
      </c>
      <c r="G70" s="235">
        <f t="shared" si="1"/>
      </c>
      <c r="H70" s="235">
        <f t="shared" si="2"/>
      </c>
      <c r="I70" s="235">
        <f t="shared" si="3"/>
      </c>
    </row>
    <row r="71">
      <c r="B71" s="233">
        <f>IFERROR(__xludf.DUMMYFUNCTION("""COMPUTED_VALUE"""),"Rest")</f>
      </c>
      <c r="C71" s="233">
        <f>IFERROR(__xludf.DUMMYFUNCTION("""COMPUTED_VALUE"""),"Aus &amp; Int shares")</f>
      </c>
      <c r="D71" s="235">
        <f>IFERROR(__xludf.DUMMYFUNCTION("""COMPUTED_VALUE"""),0.18144)</f>
      </c>
      <c r="E71" s="235">
        <f>IFERROR(__xludf.DUMMYFUNCTION("""COMPUTED_VALUE"""),0.11734)</f>
      </c>
      <c r="F71" s="233"/>
      <c r="G71" s="235">
        <f t="shared" si="1"/>
      </c>
      <c r="H71" s="235">
        <f t="shared" si="2"/>
      </c>
      <c r="I71" s="235">
        <f t="shared" si="3"/>
      </c>
    </row>
    <row r="72">
      <c r="B72" s="233">
        <f>IFERROR(__xludf.DUMMYFUNCTION("""COMPUTED_VALUE"""),"Rest")</f>
      </c>
      <c r="C72" s="233">
        <f>IFERROR(__xludf.DUMMYFUNCTION("""COMPUTED_VALUE"""),"High Growth")</f>
      </c>
      <c r="D72" s="235">
        <f>IFERROR(__xludf.DUMMYFUNCTION("""COMPUTED_VALUE"""),0.1207)</f>
      </c>
      <c r="E72" s="235">
        <f>IFERROR(__xludf.DUMMYFUNCTION("""COMPUTED_VALUE"""),0.1056)</f>
      </c>
      <c r="F72" s="235">
        <f>IFERROR(__xludf.DUMMYFUNCTION("""COMPUTED_VALUE"""),0.0723)</f>
      </c>
      <c r="G72" s="235">
        <f t="shared" si="1"/>
      </c>
      <c r="H72" s="235">
        <f t="shared" si="2"/>
      </c>
      <c r="I72" s="235">
        <f t="shared" si="3"/>
      </c>
    </row>
    <row r="73">
      <c r="B73" s="233">
        <f>IFERROR(__xludf.DUMMYFUNCTION("""COMPUTED_VALUE"""),"Rest")</f>
      </c>
      <c r="C73" s="233">
        <f>IFERROR(__xludf.DUMMYFUNCTION("""COMPUTED_VALUE"""),"SRI")</f>
      </c>
      <c r="D73" s="235">
        <f>IFERROR(__xludf.DUMMYFUNCTION("""COMPUTED_VALUE"""),0.1168)</f>
      </c>
      <c r="E73" s="233"/>
      <c r="F73" s="233"/>
      <c r="G73" s="235">
        <f t="shared" si="1"/>
      </c>
      <c r="H73" s="235">
        <f t="shared" si="2"/>
      </c>
      <c r="I73" s="235">
        <f t="shared" si="3"/>
      </c>
    </row>
    <row r="74">
      <c r="B74" s="233">
        <f>IFERROR(__xludf.DUMMYFUNCTION("""COMPUTED_VALUE"""),"Brighter Super")</f>
      </c>
      <c r="C74" s="233">
        <f>IFERROR(__xludf.DUMMYFUNCTION("""COMPUTED_VALUE"""),"Aus shares")</f>
      </c>
      <c r="D74" s="235">
        <f>IFERROR(__xludf.DUMMYFUNCTION("""COMPUTED_VALUE"""),0.1303)</f>
      </c>
      <c r="E74" s="235">
        <f>IFERROR(__xludf.DUMMYFUNCTION("""COMPUTED_VALUE"""),0.1222)</f>
      </c>
      <c r="F74" s="235">
        <f>IFERROR(__xludf.DUMMYFUNCTION("""COMPUTED_VALUE"""),0.0746)</f>
      </c>
      <c r="G74" s="235">
        <f t="shared" si="1"/>
      </c>
      <c r="H74" s="235">
        <f t="shared" si="2"/>
      </c>
      <c r="I74" s="235">
        <f t="shared" si="3"/>
      </c>
    </row>
    <row r="75">
      <c r="B75" s="233">
        <f>IFERROR(__xludf.DUMMYFUNCTION("""COMPUTED_VALUE"""),"Brighter Super")</f>
      </c>
      <c r="C75" s="233">
        <f>IFERROR(__xludf.DUMMYFUNCTION("""COMPUTED_VALUE"""),"Int shares")</f>
      </c>
      <c r="D75" s="235">
        <f>IFERROR(__xludf.DUMMYFUNCTION("""COMPUTED_VALUE"""),0.1781)</f>
      </c>
      <c r="E75" s="235">
        <f>IFERROR(__xludf.DUMMYFUNCTION("""COMPUTED_VALUE"""),0.108)</f>
      </c>
      <c r="F75" s="235">
        <f>IFERROR(__xludf.DUMMYFUNCTION("""COMPUTED_VALUE"""),0.0868)</f>
      </c>
      <c r="G75" s="235">
        <f t="shared" si="1"/>
      </c>
      <c r="H75" s="235">
        <f t="shared" si="2"/>
      </c>
      <c r="I75" s="235">
        <f t="shared" si="3"/>
      </c>
    </row>
    <row r="76">
      <c r="B76" s="233">
        <f>IFERROR(__xludf.DUMMYFUNCTION("""COMPUTED_VALUE"""),"Brighter Super")</f>
      </c>
      <c r="C76" s="233">
        <f>IFERROR(__xludf.DUMMYFUNCTION("""COMPUTED_VALUE"""),"Aus &amp; Int shares")</f>
      </c>
      <c r="D76" s="235">
        <f>IFERROR(__xludf.DUMMYFUNCTION("""COMPUTED_VALUE"""),0.15898)</f>
      </c>
      <c r="E76" s="235">
        <f>IFERROR(__xludf.DUMMYFUNCTION("""COMPUTED_VALUE"""),0.11368)</f>
      </c>
      <c r="F76" s="235">
        <f>IFERROR(__xludf.DUMMYFUNCTION("""COMPUTED_VALUE"""),0.08192)</f>
      </c>
      <c r="G76" s="235">
        <f t="shared" si="1"/>
      </c>
      <c r="H76" s="235">
        <f t="shared" si="2"/>
      </c>
      <c r="I76" s="235">
        <f t="shared" si="3"/>
      </c>
    </row>
    <row r="77">
      <c r="B77" s="233">
        <f>IFERROR(__xludf.DUMMYFUNCTION("""COMPUTED_VALUE"""),"Brighter Super")</f>
      </c>
      <c r="C77" s="233">
        <f>IFERROR(__xludf.DUMMYFUNCTION("""COMPUTED_VALUE"""),"High Growth")</f>
      </c>
      <c r="D77" s="235">
        <f>IFERROR(__xludf.DUMMYFUNCTION("""COMPUTED_VALUE"""),0.1261)</f>
      </c>
      <c r="E77" s="235">
        <f>IFERROR(__xludf.DUMMYFUNCTION("""COMPUTED_VALUE"""),0.0932)</f>
      </c>
      <c r="F77" s="235">
        <f>IFERROR(__xludf.DUMMYFUNCTION("""COMPUTED_VALUE"""),0.072)</f>
      </c>
      <c r="G77" s="235">
        <f t="shared" si="1"/>
      </c>
      <c r="H77" s="235">
        <f t="shared" si="2"/>
      </c>
      <c r="I77" s="235">
        <f t="shared" si="3"/>
      </c>
    </row>
    <row r="78">
      <c r="B78" s="233">
        <f>IFERROR(__xludf.DUMMYFUNCTION("""COMPUTED_VALUE"""),"Australian Super")</f>
      </c>
      <c r="C78" s="233">
        <f>IFERROR(__xludf.DUMMYFUNCTION("""COMPUTED_VALUE"""),"Aus shares")</f>
      </c>
      <c r="D78" s="235">
        <f>IFERROR(__xludf.DUMMYFUNCTION("""COMPUTED_VALUE"""),0.1395)</f>
      </c>
      <c r="E78" s="235">
        <f>IFERROR(__xludf.DUMMYFUNCTION("""COMPUTED_VALUE"""),0.1292)</f>
      </c>
      <c r="F78" s="235">
        <f>IFERROR(__xludf.DUMMYFUNCTION("""COMPUTED_VALUE"""),0.0866)</f>
      </c>
      <c r="G78" s="235">
        <f t="shared" si="1"/>
      </c>
      <c r="H78" s="235">
        <f t="shared" si="2"/>
      </c>
      <c r="I78" s="235">
        <f t="shared" si="3"/>
      </c>
    </row>
    <row r="79">
      <c r="B79" s="233">
        <f>IFERROR(__xludf.DUMMYFUNCTION("""COMPUTED_VALUE"""),"Australian Super")</f>
      </c>
      <c r="C79" s="233">
        <f>IFERROR(__xludf.DUMMYFUNCTION("""COMPUTED_VALUE"""),"Int shares")</f>
      </c>
      <c r="D79" s="235">
        <f>IFERROR(__xludf.DUMMYFUNCTION("""COMPUTED_VALUE"""),0.1745)</f>
      </c>
      <c r="E79" s="235">
        <f>IFERROR(__xludf.DUMMYFUNCTION("""COMPUTED_VALUE"""),0.0951)</f>
      </c>
      <c r="F79" s="235">
        <f>IFERROR(__xludf.DUMMYFUNCTION("""COMPUTED_VALUE"""),0.1002)</f>
      </c>
      <c r="G79" s="235">
        <f t="shared" si="1"/>
      </c>
      <c r="H79" s="235">
        <f t="shared" si="2"/>
      </c>
      <c r="I79" s="235">
        <f t="shared" si="3"/>
      </c>
    </row>
    <row r="80">
      <c r="B80" s="233">
        <f>IFERROR(__xludf.DUMMYFUNCTION("""COMPUTED_VALUE"""),"Australian Super")</f>
      </c>
      <c r="C80" s="233">
        <f>IFERROR(__xludf.DUMMYFUNCTION("""COMPUTED_VALUE"""),"Aus &amp; Int shares")</f>
      </c>
      <c r="D80" s="235">
        <f>IFERROR(__xludf.DUMMYFUNCTION("""COMPUTED_VALUE"""),0.1605)</f>
      </c>
      <c r="E80" s="235">
        <f>IFERROR(__xludf.DUMMYFUNCTION("""COMPUTED_VALUE"""),0.10874)</f>
      </c>
      <c r="F80" s="235">
        <f>IFERROR(__xludf.DUMMYFUNCTION("""COMPUTED_VALUE"""),0.09475999999999998)</f>
      </c>
      <c r="G80" s="235">
        <f t="shared" si="1"/>
      </c>
      <c r="H80" s="235">
        <f t="shared" si="2"/>
      </c>
      <c r="I80" s="235">
        <f t="shared" si="3"/>
      </c>
    </row>
    <row r="81">
      <c r="B81" s="233">
        <f>IFERROR(__xludf.DUMMYFUNCTION("""COMPUTED_VALUE"""),"Australian Super")</f>
      </c>
      <c r="C81" s="233">
        <f>IFERROR(__xludf.DUMMYFUNCTION("""COMPUTED_VALUE"""),"High Growth")</f>
      </c>
      <c r="D81" s="235">
        <f>IFERROR(__xludf.DUMMYFUNCTION("""COMPUTED_VALUE"""),0.1048)</f>
      </c>
      <c r="E81" s="235">
        <f>IFERROR(__xludf.DUMMYFUNCTION("""COMPUTED_VALUE"""),0.0969)</f>
      </c>
      <c r="F81" s="235">
        <f>IFERROR(__xludf.DUMMYFUNCTION("""COMPUTED_VALUE"""),0.0761)</f>
      </c>
      <c r="G81" s="235">
        <f t="shared" si="1"/>
      </c>
      <c r="H81" s="235">
        <f t="shared" si="2"/>
      </c>
      <c r="I81" s="235">
        <f t="shared" si="3"/>
      </c>
    </row>
    <row r="82">
      <c r="B82" s="233">
        <f>IFERROR(__xludf.DUMMYFUNCTION("""COMPUTED_VALUE"""),"UniSuper")</f>
      </c>
      <c r="C82" s="233">
        <f>IFERROR(__xludf.DUMMYFUNCTION("""COMPUTED_VALUE"""),"Aus shares")</f>
      </c>
      <c r="D82" s="235">
        <f>IFERROR(__xludf.DUMMYFUNCTION("""COMPUTED_VALUE"""),0.1338)</f>
      </c>
      <c r="E82" s="235">
        <f>IFERROR(__xludf.DUMMYFUNCTION("""COMPUTED_VALUE"""),0.1257)</f>
      </c>
      <c r="F82" s="235">
        <f>IFERROR(__xludf.DUMMYFUNCTION("""COMPUTED_VALUE"""),0.0889)</f>
      </c>
      <c r="G82" s="235">
        <f t="shared" si="1"/>
      </c>
      <c r="H82" s="235">
        <f t="shared" si="2"/>
      </c>
      <c r="I82" s="235">
        <f t="shared" si="3"/>
      </c>
    </row>
    <row r="83">
      <c r="B83" s="233">
        <f>IFERROR(__xludf.DUMMYFUNCTION("""COMPUTED_VALUE"""),"UniSuper")</f>
      </c>
      <c r="C83" s="233">
        <f>IFERROR(__xludf.DUMMYFUNCTION("""COMPUTED_VALUE"""),"Int shares")</f>
      </c>
      <c r="D83" s="235">
        <f>IFERROR(__xludf.DUMMYFUNCTION("""COMPUTED_VALUE"""),0.1642)</f>
      </c>
      <c r="E83" s="235">
        <f>IFERROR(__xludf.DUMMYFUNCTION("""COMPUTED_VALUE"""),0.0861)</f>
      </c>
      <c r="F83" s="235">
        <f>IFERROR(__xludf.DUMMYFUNCTION("""COMPUTED_VALUE"""),0.086)</f>
      </c>
      <c r="G83" s="235">
        <f t="shared" si="1"/>
      </c>
      <c r="H83" s="235">
        <f t="shared" si="2"/>
      </c>
      <c r="I83" s="235">
        <f t="shared" si="3"/>
      </c>
    </row>
    <row r="84">
      <c r="B84" s="233">
        <f>IFERROR(__xludf.DUMMYFUNCTION("""COMPUTED_VALUE"""),"UniSuper")</f>
      </c>
      <c r="C84" s="233">
        <f>IFERROR(__xludf.DUMMYFUNCTION("""COMPUTED_VALUE"""),"Aus &amp; Int shares")</f>
      </c>
      <c r="D84" s="235">
        <f>IFERROR(__xludf.DUMMYFUNCTION("""COMPUTED_VALUE"""),0.15204)</f>
      </c>
      <c r="E84" s="235">
        <f>IFERROR(__xludf.DUMMYFUNCTION("""COMPUTED_VALUE"""),0.10194)</f>
      </c>
      <c r="F84" s="235">
        <f>IFERROR(__xludf.DUMMYFUNCTION("""COMPUTED_VALUE"""),0.08715999999999999)</f>
      </c>
      <c r="G84" s="235">
        <f t="shared" si="1"/>
      </c>
      <c r="H84" s="235">
        <f t="shared" si="2"/>
      </c>
      <c r="I84" s="235">
        <f t="shared" si="3"/>
      </c>
    </row>
    <row r="85">
      <c r="B85" s="233">
        <f>IFERROR(__xludf.DUMMYFUNCTION("""COMPUTED_VALUE"""),"UniSuper")</f>
      </c>
      <c r="C85" s="233">
        <f>IFERROR(__xludf.DUMMYFUNCTION("""COMPUTED_VALUE"""),"High Growth")</f>
      </c>
      <c r="D85" s="235">
        <f>IFERROR(__xludf.DUMMYFUNCTION("""COMPUTED_VALUE"""),0.1398)</f>
      </c>
      <c r="E85" s="235">
        <f>IFERROR(__xludf.DUMMYFUNCTION("""COMPUTED_VALUE"""),0.1014)</f>
      </c>
      <c r="F85" s="235">
        <f>IFERROR(__xludf.DUMMYFUNCTION("""COMPUTED_VALUE"""),0.0814)</f>
      </c>
      <c r="G85" s="235">
        <f t="shared" si="1"/>
      </c>
      <c r="H85" s="235">
        <f t="shared" si="2"/>
      </c>
      <c r="I85" s="235">
        <f t="shared" si="3"/>
      </c>
    </row>
    <row r="86">
      <c r="B86" s="233">
        <f>IFERROR(__xludf.DUMMYFUNCTION("""COMPUTED_VALUE"""),"UniSuper")</f>
      </c>
      <c r="C86" s="233">
        <f>IFERROR(__xludf.DUMMYFUNCTION("""COMPUTED_VALUE"""),"SRI")</f>
      </c>
      <c r="D86" s="235">
        <f>IFERROR(__xludf.DUMMYFUNCTION("""COMPUTED_VALUE"""),0.1381)</f>
      </c>
      <c r="E86" s="235">
        <f>IFERROR(__xludf.DUMMYFUNCTION("""COMPUTED_VALUE"""),0.0816)</f>
      </c>
      <c r="F86" s="235">
        <f>IFERROR(__xludf.DUMMYFUNCTION("""COMPUTED_VALUE"""),0.0848)</f>
      </c>
      <c r="G86" s="235">
        <f t="shared" si="1"/>
      </c>
      <c r="H86" s="235">
        <f t="shared" si="2"/>
      </c>
      <c r="I86" s="235">
        <f t="shared" si="3"/>
      </c>
    </row>
    <row r="87">
      <c r="B87" s="233">
        <f>IFERROR(__xludf.DUMMYFUNCTION("""COMPUTED_VALUE"""),"HESTA")</f>
      </c>
      <c r="C87" s="233">
        <f>IFERROR(__xludf.DUMMYFUNCTION("""COMPUTED_VALUE"""),"Aus shares")</f>
      </c>
      <c r="D87" s="235">
        <f>IFERROR(__xludf.DUMMYFUNCTION("""COMPUTED_VALUE"""),0.147)</f>
      </c>
      <c r="E87" s="235">
        <f>IFERROR(__xludf.DUMMYFUNCTION("""COMPUTED_VALUE"""),0.1193)</f>
      </c>
      <c r="F87" s="235">
        <f>IFERROR(__xludf.DUMMYFUNCTION("""COMPUTED_VALUE"""),0.0755)</f>
      </c>
      <c r="G87" s="235">
        <f t="shared" si="1"/>
      </c>
      <c r="H87" s="235">
        <f t="shared" si="2"/>
      </c>
      <c r="I87" s="235">
        <f t="shared" si="3"/>
      </c>
    </row>
    <row r="88">
      <c r="B88" s="233">
        <f>IFERROR(__xludf.DUMMYFUNCTION("""COMPUTED_VALUE"""),"HESTA")</f>
      </c>
      <c r="C88" s="233">
        <f>IFERROR(__xludf.DUMMYFUNCTION("""COMPUTED_VALUE"""),"Int shares")</f>
      </c>
      <c r="D88" s="235">
        <f>IFERROR(__xludf.DUMMYFUNCTION("""COMPUTED_VALUE"""),0.1796)</f>
      </c>
      <c r="E88" s="235">
        <f>IFERROR(__xludf.DUMMYFUNCTION("""COMPUTED_VALUE"""),0.1065)</f>
      </c>
      <c r="F88" s="235">
        <f>IFERROR(__xludf.DUMMYFUNCTION("""COMPUTED_VALUE"""),0.0813)</f>
      </c>
      <c r="G88" s="235">
        <f t="shared" si="1"/>
      </c>
      <c r="H88" s="235">
        <f t="shared" si="2"/>
      </c>
      <c r="I88" s="235">
        <f t="shared" si="3"/>
      </c>
    </row>
    <row r="89">
      <c r="B89" s="233">
        <f>IFERROR(__xludf.DUMMYFUNCTION("""COMPUTED_VALUE"""),"HESTA")</f>
      </c>
      <c r="C89" s="233">
        <f>IFERROR(__xludf.DUMMYFUNCTION("""COMPUTED_VALUE"""),"Aus &amp; Int shares")</f>
      </c>
      <c r="D89" s="235">
        <f>IFERROR(__xludf.DUMMYFUNCTION("""COMPUTED_VALUE"""),0.16656)</f>
      </c>
      <c r="E89" s="235">
        <f>IFERROR(__xludf.DUMMYFUNCTION("""COMPUTED_VALUE"""),0.11162)</f>
      </c>
      <c r="F89" s="235">
        <f>IFERROR(__xludf.DUMMYFUNCTION("""COMPUTED_VALUE"""),0.07898)</f>
      </c>
      <c r="G89" s="235">
        <f t="shared" si="1"/>
      </c>
      <c r="H89" s="235">
        <f t="shared" si="2"/>
      </c>
      <c r="I89" s="235">
        <f t="shared" si="3"/>
      </c>
    </row>
    <row r="90">
      <c r="B90" s="233">
        <f>IFERROR(__xludf.DUMMYFUNCTION("""COMPUTED_VALUE"""),"HESTA")</f>
      </c>
      <c r="C90" s="233">
        <f>IFERROR(__xludf.DUMMYFUNCTION("""COMPUTED_VALUE"""),"High Growth")</f>
      </c>
      <c r="D90" s="235">
        <f>IFERROR(__xludf.DUMMYFUNCTION("""COMPUTED_VALUE"""),0.1258)</f>
      </c>
      <c r="E90" s="235">
        <f>IFERROR(__xludf.DUMMYFUNCTION("""COMPUTED_VALUE"""),0.1127)</f>
      </c>
      <c r="F90" s="235">
        <f>IFERROR(__xludf.DUMMYFUNCTION("""COMPUTED_VALUE"""),0.083)</f>
      </c>
      <c r="G90" s="235">
        <f t="shared" si="1"/>
      </c>
      <c r="H90" s="235">
        <f t="shared" si="2"/>
      </c>
      <c r="I90" s="235">
        <f t="shared" si="3"/>
      </c>
    </row>
    <row r="91">
      <c r="B91" s="233">
        <f>IFERROR(__xludf.DUMMYFUNCTION("""COMPUTED_VALUE"""),"CareSuper")</f>
      </c>
      <c r="C91" s="233">
        <f>IFERROR(__xludf.DUMMYFUNCTION("""COMPUTED_VALUE"""),"Aus shares")</f>
      </c>
      <c r="D91" s="235">
        <f>IFERROR(__xludf.DUMMYFUNCTION("""COMPUTED_VALUE"""),0.15)</f>
      </c>
      <c r="E91" s="233"/>
      <c r="F91" s="235">
        <f>IFERROR(__xludf.DUMMYFUNCTION("""COMPUTED_VALUE"""),0.0748)</f>
      </c>
      <c r="G91" s="235">
        <f t="shared" si="1"/>
      </c>
      <c r="H91" s="235">
        <f t="shared" si="2"/>
      </c>
      <c r="I91" s="235">
        <f t="shared" si="3"/>
      </c>
    </row>
    <row r="92">
      <c r="B92" s="233">
        <f>IFERROR(__xludf.DUMMYFUNCTION("""COMPUTED_VALUE"""),"CareSuper")</f>
      </c>
      <c r="C92" s="233">
        <f>IFERROR(__xludf.DUMMYFUNCTION("""COMPUTED_VALUE"""),"Int shares")</f>
      </c>
      <c r="D92" s="235">
        <f>IFERROR(__xludf.DUMMYFUNCTION("""COMPUTED_VALUE"""),0.1779)</f>
      </c>
      <c r="E92" s="233"/>
      <c r="F92" s="235">
        <f>IFERROR(__xludf.DUMMYFUNCTION("""COMPUTED_VALUE"""),0.0795)</f>
      </c>
      <c r="G92" s="235">
        <f t="shared" si="1"/>
      </c>
      <c r="H92" s="235">
        <f t="shared" si="2"/>
      </c>
      <c r="I92" s="235">
        <f t="shared" si="3"/>
      </c>
    </row>
    <row r="93">
      <c r="B93" s="233">
        <f>IFERROR(__xludf.DUMMYFUNCTION("""COMPUTED_VALUE"""),"CareSuper")</f>
      </c>
      <c r="C93" s="233">
        <f>IFERROR(__xludf.DUMMYFUNCTION("""COMPUTED_VALUE"""),"Aus &amp; Int shares")</f>
      </c>
      <c r="D93" s="235">
        <f>IFERROR(__xludf.DUMMYFUNCTION("""COMPUTED_VALUE"""),0.16674)</f>
      </c>
      <c r="E93" s="233"/>
      <c r="F93" s="235">
        <f>IFERROR(__xludf.DUMMYFUNCTION("""COMPUTED_VALUE"""),0.07762)</f>
      </c>
      <c r="G93" s="235">
        <f t="shared" si="1"/>
      </c>
      <c r="H93" s="235">
        <f t="shared" si="2"/>
      </c>
      <c r="I93" s="235">
        <f t="shared" si="3"/>
      </c>
    </row>
    <row r="94">
      <c r="B94" s="233">
        <f>IFERROR(__xludf.DUMMYFUNCTION("""COMPUTED_VALUE"""),"CareSuper")</f>
      </c>
      <c r="C94" s="233">
        <f>IFERROR(__xludf.DUMMYFUNCTION("""COMPUTED_VALUE"""),"High Growth")</f>
      </c>
      <c r="D94" s="235">
        <f>IFERROR(__xludf.DUMMYFUNCTION("""COMPUTED_VALUE"""),0.117)</f>
      </c>
      <c r="E94" s="233"/>
      <c r="F94" s="235">
        <f>IFERROR(__xludf.DUMMYFUNCTION("""COMPUTED_VALUE"""),0.0695)</f>
      </c>
      <c r="G94" s="235">
        <f t="shared" si="1"/>
      </c>
      <c r="H94" s="235">
        <f t="shared" si="2"/>
      </c>
      <c r="I94" s="235">
        <f t="shared" si="3"/>
      </c>
    </row>
    <row r="95">
      <c r="B95" s="233">
        <f>IFERROR(__xludf.DUMMYFUNCTION("""COMPUTED_VALUE"""),"Cbus")</f>
      </c>
      <c r="C95" s="233">
        <f>IFERROR(__xludf.DUMMYFUNCTION("""COMPUTED_VALUE"""),"Aus shares")</f>
      </c>
      <c r="D95" s="235">
        <f>IFERROR(__xludf.DUMMYFUNCTION("""COMPUTED_VALUE"""),0.1486)</f>
      </c>
      <c r="E95" s="233"/>
      <c r="F95" s="233"/>
      <c r="G95" s="235">
        <f t="shared" si="1"/>
      </c>
      <c r="H95" s="235">
        <f t="shared" si="2"/>
      </c>
      <c r="I95" s="235">
        <f t="shared" si="3"/>
      </c>
    </row>
    <row r="96">
      <c r="B96" s="233">
        <f>IFERROR(__xludf.DUMMYFUNCTION("""COMPUTED_VALUE"""),"Cbus")</f>
      </c>
      <c r="C96" s="233">
        <f>IFERROR(__xludf.DUMMYFUNCTION("""COMPUTED_VALUE"""),"Int shares")</f>
      </c>
      <c r="D96" s="235">
        <f>IFERROR(__xludf.DUMMYFUNCTION("""COMPUTED_VALUE"""),0.1871)</f>
      </c>
      <c r="E96" s="233"/>
      <c r="F96" s="233"/>
      <c r="G96" s="235">
        <f t="shared" si="1"/>
      </c>
      <c r="H96" s="235">
        <f t="shared" si="2"/>
      </c>
      <c r="I96" s="235">
        <f t="shared" si="3"/>
      </c>
    </row>
    <row r="97">
      <c r="B97" s="233">
        <f>IFERROR(__xludf.DUMMYFUNCTION("""COMPUTED_VALUE"""),"Cbus")</f>
      </c>
      <c r="C97" s="233">
        <f>IFERROR(__xludf.DUMMYFUNCTION("""COMPUTED_VALUE"""),"Aus &amp; Int shares")</f>
      </c>
      <c r="D97" s="235">
        <f>IFERROR(__xludf.DUMMYFUNCTION("""COMPUTED_VALUE"""),0.1717)</f>
      </c>
      <c r="E97" s="233"/>
      <c r="F97" s="233"/>
      <c r="G97" s="235">
        <f t="shared" si="1"/>
      </c>
      <c r="H97" s="235">
        <f t="shared" si="2"/>
      </c>
      <c r="I97" s="235">
        <f t="shared" si="3"/>
      </c>
    </row>
    <row r="98">
      <c r="B98" s="233">
        <f>IFERROR(__xludf.DUMMYFUNCTION("""COMPUTED_VALUE"""),"Cbus")</f>
      </c>
      <c r="C98" s="233">
        <f>IFERROR(__xludf.DUMMYFUNCTION("""COMPUTED_VALUE"""),"High Growth")</f>
      </c>
      <c r="D98" s="235">
        <f>IFERROR(__xludf.DUMMYFUNCTION("""COMPUTED_VALUE"""),0.1257)</f>
      </c>
      <c r="E98" s="233"/>
      <c r="F98" s="235">
        <f>IFERROR(__xludf.DUMMYFUNCTION("""COMPUTED_VALUE"""),0.0755)</f>
      </c>
      <c r="G98" s="235">
        <f t="shared" si="1"/>
      </c>
      <c r="H98" s="235">
        <f t="shared" si="2"/>
      </c>
      <c r="I98" s="235">
        <f t="shared" si="3"/>
      </c>
    </row>
    <row r="99">
      <c r="B99" s="233">
        <f>IFERROR(__xludf.DUMMYFUNCTION("""COMPUTED_VALUE"""),"Spirit")</f>
      </c>
      <c r="C99" s="233">
        <f>IFERROR(__xludf.DUMMYFUNCTION("""COMPUTED_VALUE"""),"Aus shares")</f>
      </c>
      <c r="D99" s="235">
        <f>IFERROR(__xludf.DUMMYFUNCTION("""COMPUTED_VALUE"""),0.1354)</f>
      </c>
      <c r="E99" s="235">
        <f>IFERROR(__xludf.DUMMYFUNCTION("""COMPUTED_VALUE"""),0.1048)</f>
      </c>
      <c r="F99" s="235">
        <f>IFERROR(__xludf.DUMMYFUNCTION("""COMPUTED_VALUE"""),0.0678)</f>
      </c>
      <c r="G99" s="235">
        <f t="shared" si="1"/>
      </c>
      <c r="H99" s="235">
        <f t="shared" si="2"/>
      </c>
      <c r="I99" s="235">
        <f t="shared" si="3"/>
      </c>
    </row>
    <row r="100">
      <c r="B100" s="233">
        <f>IFERROR(__xludf.DUMMYFUNCTION("""COMPUTED_VALUE"""),"Spirit")</f>
      </c>
      <c r="C100" s="233">
        <f>IFERROR(__xludf.DUMMYFUNCTION("""COMPUTED_VALUE"""),"Int shares")</f>
      </c>
      <c r="D100" s="235">
        <f>IFERROR(__xludf.DUMMYFUNCTION("""COMPUTED_VALUE"""),0.1666)</f>
      </c>
      <c r="E100" s="235">
        <f>IFERROR(__xludf.DUMMYFUNCTION("""COMPUTED_VALUE"""),0.108)</f>
      </c>
      <c r="F100" s="235">
        <f>IFERROR(__xludf.DUMMYFUNCTION("""COMPUTED_VALUE"""),0.0747)</f>
      </c>
      <c r="G100" s="235">
        <f t="shared" si="1"/>
      </c>
      <c r="H100" s="235">
        <f t="shared" si="2"/>
      </c>
      <c r="I100" s="235">
        <f t="shared" si="3"/>
      </c>
    </row>
    <row r="101">
      <c r="B101" s="233">
        <f>IFERROR(__xludf.DUMMYFUNCTION("""COMPUTED_VALUE"""),"Spirit")</f>
      </c>
      <c r="C101" s="233">
        <f>IFERROR(__xludf.DUMMYFUNCTION("""COMPUTED_VALUE"""),"Aus &amp; Int shares")</f>
      </c>
      <c r="D101" s="235">
        <f>IFERROR(__xludf.DUMMYFUNCTION("""COMPUTED_VALUE"""),0.15411999999999998)</f>
      </c>
      <c r="E101" s="235">
        <f>IFERROR(__xludf.DUMMYFUNCTION("""COMPUTED_VALUE"""),0.10672000000000001)</f>
      </c>
      <c r="F101" s="235">
        <f>IFERROR(__xludf.DUMMYFUNCTION("""COMPUTED_VALUE"""),0.07194)</f>
      </c>
      <c r="G101" s="235">
        <f t="shared" si="1"/>
      </c>
      <c r="H101" s="235">
        <f t="shared" si="2"/>
      </c>
      <c r="I101" s="235">
        <f t="shared" si="3"/>
      </c>
    </row>
    <row r="102">
      <c r="B102" s="233">
        <f>IFERROR(__xludf.DUMMYFUNCTION("""COMPUTED_VALUE"""),"Spirit")</f>
      </c>
      <c r="C102" s="233">
        <f>IFERROR(__xludf.DUMMYFUNCTION("""COMPUTED_VALUE"""),"High Growth")</f>
      </c>
      <c r="D102" s="235">
        <f>IFERROR(__xludf.DUMMYFUNCTION("""COMPUTED_VALUE"""),0.1201)</f>
      </c>
      <c r="E102" s="235">
        <f>IFERROR(__xludf.DUMMYFUNCTION("""COMPUTED_VALUE"""),0.0945)</f>
      </c>
      <c r="F102" s="235">
        <f>IFERROR(__xludf.DUMMYFUNCTION("""COMPUTED_VALUE"""),0.0704)</f>
      </c>
      <c r="G102" s="235">
        <f t="shared" si="1"/>
      </c>
      <c r="H102" s="235">
        <f t="shared" si="2"/>
      </c>
      <c r="I102" s="235">
        <f t="shared" si="3"/>
      </c>
    </row>
    <row r="103">
      <c r="B103" s="233">
        <f>IFERROR(__xludf.DUMMYFUNCTION("""COMPUTED_VALUE"""),"Catholic Super")</f>
      </c>
      <c r="C103" s="233">
        <f>IFERROR(__xludf.DUMMYFUNCTION("""COMPUTED_VALUE"""),"Aus shares")</f>
      </c>
      <c r="D103" s="235">
        <f>IFERROR(__xludf.DUMMYFUNCTION("""COMPUTED_VALUE"""),0.1424)</f>
      </c>
      <c r="E103" s="235">
        <f>IFERROR(__xludf.DUMMYFUNCTION("""COMPUTED_VALUE"""),0.1111)</f>
      </c>
      <c r="F103" s="235">
        <f>IFERROR(__xludf.DUMMYFUNCTION("""COMPUTED_VALUE"""),0.0676)</f>
      </c>
      <c r="G103" s="235">
        <f t="shared" si="1"/>
      </c>
      <c r="H103" s="235">
        <f t="shared" si="2"/>
      </c>
      <c r="I103" s="235">
        <f t="shared" si="3"/>
      </c>
    </row>
    <row r="104">
      <c r="B104" s="233">
        <f>IFERROR(__xludf.DUMMYFUNCTION("""COMPUTED_VALUE"""),"Catholic Super")</f>
      </c>
      <c r="C104" s="233">
        <f>IFERROR(__xludf.DUMMYFUNCTION("""COMPUTED_VALUE"""),"Int shares")</f>
      </c>
      <c r="D104" s="235">
        <f>IFERROR(__xludf.DUMMYFUNCTION("""COMPUTED_VALUE"""),0.18)</f>
      </c>
      <c r="E104" s="235">
        <f>IFERROR(__xludf.DUMMYFUNCTION("""COMPUTED_VALUE"""),0.0961)</f>
      </c>
      <c r="F104" s="235">
        <f>IFERROR(__xludf.DUMMYFUNCTION("""COMPUTED_VALUE"""),0.086)</f>
      </c>
      <c r="G104" s="235">
        <f t="shared" si="1"/>
      </c>
      <c r="H104" s="235">
        <f t="shared" si="2"/>
      </c>
      <c r="I104" s="235">
        <f t="shared" si="3"/>
      </c>
    </row>
    <row r="105">
      <c r="B105" s="233">
        <f>IFERROR(__xludf.DUMMYFUNCTION("""COMPUTED_VALUE"""),"Catholic Super")</f>
      </c>
      <c r="C105" s="233">
        <f>IFERROR(__xludf.DUMMYFUNCTION("""COMPUTED_VALUE"""),"Aus &amp; Int shares")</f>
      </c>
      <c r="D105" s="235">
        <f>IFERROR(__xludf.DUMMYFUNCTION("""COMPUTED_VALUE"""),0.16496)</f>
      </c>
      <c r="E105" s="235">
        <f>IFERROR(__xludf.DUMMYFUNCTION("""COMPUTED_VALUE"""),0.10210000000000001)</f>
      </c>
      <c r="F105" s="235">
        <f>IFERROR(__xludf.DUMMYFUNCTION("""COMPUTED_VALUE"""),0.07863999999999999)</f>
      </c>
      <c r="G105" s="235">
        <f t="shared" si="1"/>
      </c>
      <c r="H105" s="235">
        <f t="shared" si="2"/>
      </c>
      <c r="I105" s="235">
        <f t="shared" si="3"/>
      </c>
    </row>
    <row r="106">
      <c r="B106" s="233">
        <f>IFERROR(__xludf.DUMMYFUNCTION("""COMPUTED_VALUE"""),"Catholic Super")</f>
      </c>
      <c r="C106" s="233">
        <f>IFERROR(__xludf.DUMMYFUNCTION("""COMPUTED_VALUE"""),"High Growth")</f>
      </c>
      <c r="D106" s="235">
        <f>IFERROR(__xludf.DUMMYFUNCTION("""COMPUTED_VALUE"""),0.14)</f>
      </c>
      <c r="E106" s="235">
        <f>IFERROR(__xludf.DUMMYFUNCTION("""COMPUTED_VALUE"""),0.1015)</f>
      </c>
      <c r="F106" s="235">
        <f>IFERROR(__xludf.DUMMYFUNCTION("""COMPUTED_VALUE"""),0.076)</f>
      </c>
      <c r="G106" s="235">
        <f t="shared" si="1"/>
      </c>
      <c r="H106" s="235">
        <f t="shared" si="2"/>
      </c>
      <c r="I106" s="235">
        <f t="shared" si="3"/>
      </c>
    </row>
    <row r="107">
      <c r="B107" s="233">
        <f>IFERROR(__xludf.DUMMYFUNCTION("""COMPUTED_VALUE"""),"Legal Super")</f>
      </c>
      <c r="C107" s="233">
        <f>IFERROR(__xludf.DUMMYFUNCTION("""COMPUTED_VALUE"""),"Aus shares")</f>
      </c>
      <c r="D107" s="235">
        <f>IFERROR(__xludf.DUMMYFUNCTION("""COMPUTED_VALUE"""),0.113)</f>
      </c>
      <c r="E107" s="235">
        <f>IFERROR(__xludf.DUMMYFUNCTION("""COMPUTED_VALUE"""),0.088)</f>
      </c>
      <c r="F107" s="235">
        <f>IFERROR(__xludf.DUMMYFUNCTION("""COMPUTED_VALUE"""),0.057)</f>
      </c>
      <c r="G107" s="235">
        <f t="shared" si="1"/>
      </c>
      <c r="H107" s="235">
        <f t="shared" si="2"/>
      </c>
      <c r="I107" s="235">
        <f t="shared" si="3"/>
      </c>
    </row>
    <row r="108">
      <c r="B108" s="233">
        <f>IFERROR(__xludf.DUMMYFUNCTION("""COMPUTED_VALUE"""),"Legal Super")</f>
      </c>
      <c r="C108" s="233">
        <f>IFERROR(__xludf.DUMMYFUNCTION("""COMPUTED_VALUE"""),"Int shares")</f>
      </c>
      <c r="D108" s="235">
        <f>IFERROR(__xludf.DUMMYFUNCTION("""COMPUTED_VALUE"""),0.155)</f>
      </c>
      <c r="E108" s="235">
        <f>IFERROR(__xludf.DUMMYFUNCTION("""COMPUTED_VALUE"""),0.115)</f>
      </c>
      <c r="F108" s="235">
        <f>IFERROR(__xludf.DUMMYFUNCTION("""COMPUTED_VALUE"""),0.087)</f>
      </c>
      <c r="G108" s="235">
        <f t="shared" si="1"/>
      </c>
      <c r="H108" s="235">
        <f t="shared" si="2"/>
      </c>
      <c r="I108" s="235">
        <f t="shared" si="3"/>
      </c>
    </row>
    <row r="109">
      <c r="B109" s="233">
        <f>IFERROR(__xludf.DUMMYFUNCTION("""COMPUTED_VALUE"""),"Legal Super")</f>
      </c>
      <c r="C109" s="233">
        <f>IFERROR(__xludf.DUMMYFUNCTION("""COMPUTED_VALUE"""),"Aus &amp; Int shares")</f>
      </c>
      <c r="D109" s="235">
        <f>IFERROR(__xludf.DUMMYFUNCTION("""COMPUTED_VALUE"""),0.1382)</f>
      </c>
      <c r="E109" s="235">
        <f>IFERROR(__xludf.DUMMYFUNCTION("""COMPUTED_VALUE"""),0.10420000000000001)</f>
      </c>
      <c r="F109" s="235">
        <f>IFERROR(__xludf.DUMMYFUNCTION("""COMPUTED_VALUE"""),0.075)</f>
      </c>
      <c r="G109" s="235">
        <f t="shared" si="1"/>
      </c>
      <c r="H109" s="235">
        <f t="shared" si="2"/>
      </c>
      <c r="I109" s="235">
        <f t="shared" si="3"/>
      </c>
    </row>
    <row r="110">
      <c r="B110" s="233">
        <f>IFERROR(__xludf.DUMMYFUNCTION("""COMPUTED_VALUE"""),"Legal Super")</f>
      </c>
      <c r="C110" s="233">
        <f>IFERROR(__xludf.DUMMYFUNCTION("""COMPUTED_VALUE"""),"High Growth")</f>
      </c>
      <c r="D110" s="235">
        <f>IFERROR(__xludf.DUMMYFUNCTION("""COMPUTED_VALUE"""),0.115)</f>
      </c>
      <c r="E110" s="235">
        <f>IFERROR(__xludf.DUMMYFUNCTION("""COMPUTED_VALUE"""),0.1)</f>
      </c>
      <c r="F110" s="235">
        <f>IFERROR(__xludf.DUMMYFUNCTION("""COMPUTED_VALUE"""),0.07)</f>
      </c>
      <c r="G110" s="235">
        <f t="shared" si="1"/>
      </c>
      <c r="H110" s="235">
        <f t="shared" si="2"/>
      </c>
      <c r="I110" s="235">
        <f t="shared" si="3"/>
      </c>
    </row>
    <row r="111">
      <c r="B111" s="233">
        <f>IFERROR(__xludf.DUMMYFUNCTION("""COMPUTED_VALUE"""),"Prime Super")</f>
      </c>
      <c r="C111" s="233">
        <f>IFERROR(__xludf.DUMMYFUNCTION("""COMPUTED_VALUE"""),"Aus shares")</f>
      </c>
      <c r="D111" s="235">
        <f>IFERROR(__xludf.DUMMYFUNCTION("""COMPUTED_VALUE"""),0.1239)</f>
      </c>
      <c r="E111" s="235">
        <f>IFERROR(__xludf.DUMMYFUNCTION("""COMPUTED_VALUE"""),0.1134)</f>
      </c>
      <c r="F111" s="235">
        <f>IFERROR(__xludf.DUMMYFUNCTION("""COMPUTED_VALUE"""),0.0721)</f>
      </c>
      <c r="G111" s="235">
        <f t="shared" si="1"/>
      </c>
      <c r="H111" s="235">
        <f t="shared" si="2"/>
      </c>
      <c r="I111" s="235">
        <f t="shared" si="3"/>
      </c>
    </row>
    <row r="112">
      <c r="B112" s="233">
        <f>IFERROR(__xludf.DUMMYFUNCTION("""COMPUTED_VALUE"""),"Prime Super")</f>
      </c>
      <c r="C112" s="233">
        <f>IFERROR(__xludf.DUMMYFUNCTION("""COMPUTED_VALUE"""),"Int shares")</f>
      </c>
      <c r="D112" s="235">
        <f>IFERROR(__xludf.DUMMYFUNCTION("""COMPUTED_VALUE"""),0.1706)</f>
      </c>
      <c r="E112" s="235">
        <f>IFERROR(__xludf.DUMMYFUNCTION("""COMPUTED_VALUE"""),0.1038)</f>
      </c>
      <c r="F112" s="235">
        <f>IFERROR(__xludf.DUMMYFUNCTION("""COMPUTED_VALUE"""),0.0756)</f>
      </c>
      <c r="G112" s="235">
        <f t="shared" si="1"/>
      </c>
      <c r="H112" s="235">
        <f t="shared" si="2"/>
      </c>
      <c r="I112" s="235">
        <f t="shared" si="3"/>
      </c>
    </row>
    <row r="113">
      <c r="B113" s="233">
        <f>IFERROR(__xludf.DUMMYFUNCTION("""COMPUTED_VALUE"""),"Prime Super")</f>
      </c>
      <c r="C113" s="233">
        <f>IFERROR(__xludf.DUMMYFUNCTION("""COMPUTED_VALUE"""),"Aus &amp; Int shares")</f>
      </c>
      <c r="D113" s="235">
        <f>IFERROR(__xludf.DUMMYFUNCTION("""COMPUTED_VALUE"""),0.15192)</f>
      </c>
      <c r="E113" s="235">
        <f>IFERROR(__xludf.DUMMYFUNCTION("""COMPUTED_VALUE"""),0.10764000000000001)</f>
      </c>
      <c r="F113" s="235">
        <f>IFERROR(__xludf.DUMMYFUNCTION("""COMPUTED_VALUE"""),0.0742)</f>
      </c>
      <c r="G113" s="235">
        <f t="shared" si="1"/>
      </c>
      <c r="H113" s="235">
        <f t="shared" si="2"/>
      </c>
      <c r="I113" s="235">
        <f t="shared" si="3"/>
      </c>
    </row>
    <row r="114">
      <c r="B114" s="233">
        <f>IFERROR(__xludf.DUMMYFUNCTION("""COMPUTED_VALUE"""),"Prime Super")</f>
      </c>
      <c r="C114" s="233">
        <f>IFERROR(__xludf.DUMMYFUNCTION("""COMPUTED_VALUE"""),"High Growth")</f>
      </c>
      <c r="D114" s="235">
        <f>IFERROR(__xludf.DUMMYFUNCTION("""COMPUTED_VALUE"""),0.1247)</f>
      </c>
      <c r="E114" s="235">
        <f>IFERROR(__xludf.DUMMYFUNCTION("""COMPUTED_VALUE"""),0.0908)</f>
      </c>
      <c r="F114" s="235">
        <f>IFERROR(__xludf.DUMMYFUNCTION("""COMPUTED_VALUE"""),0.0681)</f>
      </c>
      <c r="G114" s="235">
        <f t="shared" si="1"/>
      </c>
      <c r="H114" s="235">
        <f t="shared" si="2"/>
      </c>
      <c r="I114" s="235">
        <f t="shared" si="3"/>
      </c>
    </row>
    <row r="115">
      <c r="B115" s="233">
        <f>IFERROR(__xludf.DUMMYFUNCTION("""COMPUTED_VALUE"""),"Australian Ethical")</f>
      </c>
      <c r="C115" s="233">
        <f>IFERROR(__xludf.DUMMYFUNCTION("""COMPUTED_VALUE"""),"Aus shares")</f>
      </c>
      <c r="D115" s="235">
        <f>IFERROR(__xludf.DUMMYFUNCTION("""COMPUTED_VALUE"""),0.125)</f>
      </c>
      <c r="E115" s="235">
        <f>IFERROR(__xludf.DUMMYFUNCTION("""COMPUTED_VALUE"""),0.098)</f>
      </c>
      <c r="F115" s="235">
        <f>IFERROR(__xludf.DUMMYFUNCTION("""COMPUTED_VALUE"""),0.083)</f>
      </c>
      <c r="G115" s="235">
        <f t="shared" si="1"/>
      </c>
      <c r="H115" s="235">
        <f t="shared" si="2"/>
      </c>
      <c r="I115" s="235">
        <f t="shared" si="3"/>
      </c>
    </row>
    <row r="116">
      <c r="B116" s="233">
        <f>IFERROR(__xludf.DUMMYFUNCTION("""COMPUTED_VALUE"""),"Australian Ethical")</f>
      </c>
      <c r="C116" s="233">
        <f>IFERROR(__xludf.DUMMYFUNCTION("""COMPUTED_VALUE"""),"Int shares")</f>
      </c>
      <c r="D116" s="235">
        <f>IFERROR(__xludf.DUMMYFUNCTION("""COMPUTED_VALUE"""),0.172)</f>
      </c>
      <c r="E116" s="235">
        <f>IFERROR(__xludf.DUMMYFUNCTION("""COMPUTED_VALUE"""),0.107)</f>
      </c>
      <c r="F116" s="235">
        <f>IFERROR(__xludf.DUMMYFUNCTION("""COMPUTED_VALUE"""),0.091)</f>
      </c>
      <c r="G116" s="235">
        <f t="shared" si="1"/>
      </c>
      <c r="H116" s="235">
        <f t="shared" si="2"/>
      </c>
      <c r="I116" s="235">
        <f t="shared" si="3"/>
      </c>
    </row>
    <row r="117">
      <c r="B117" s="233">
        <f>IFERROR(__xludf.DUMMYFUNCTION("""COMPUTED_VALUE"""),"Australian Ethical")</f>
      </c>
      <c r="C117" s="233">
        <f>IFERROR(__xludf.DUMMYFUNCTION("""COMPUTED_VALUE"""),"Aus &amp; Int shares")</f>
      </c>
      <c r="D117" s="235">
        <f>IFERROR(__xludf.DUMMYFUNCTION("""COMPUTED_VALUE"""),0.1532)</f>
      </c>
      <c r="E117" s="235">
        <f>IFERROR(__xludf.DUMMYFUNCTION("""COMPUTED_VALUE"""),0.10339999999999999)</f>
      </c>
      <c r="F117" s="235">
        <f>IFERROR(__xludf.DUMMYFUNCTION("""COMPUTED_VALUE"""),0.08779999999999999)</f>
      </c>
      <c r="G117" s="235">
        <f t="shared" si="1"/>
      </c>
      <c r="H117" s="235">
        <f t="shared" si="2"/>
      </c>
      <c r="I117" s="235">
        <f t="shared" si="3"/>
      </c>
    </row>
    <row r="118">
      <c r="B118" s="233">
        <f>IFERROR(__xludf.DUMMYFUNCTION("""COMPUTED_VALUE"""),"Australian Ethical")</f>
      </c>
      <c r="C118" s="233">
        <f>IFERROR(__xludf.DUMMYFUNCTION("""COMPUTED_VALUE"""),"High Growth")</f>
      </c>
      <c r="D118" s="235">
        <f>IFERROR(__xludf.DUMMYFUNCTION("""COMPUTED_VALUE"""),0.135)</f>
      </c>
      <c r="E118" s="235">
        <f>IFERROR(__xludf.DUMMYFUNCTION("""COMPUTED_VALUE"""),0.103)</f>
      </c>
      <c r="F118" s="235">
        <f>IFERROR(__xludf.DUMMYFUNCTION("""COMPUTED_VALUE"""),0.079)</f>
      </c>
      <c r="G118" s="235">
        <f t="shared" si="1"/>
      </c>
      <c r="H118" s="235">
        <f t="shared" si="2"/>
      </c>
      <c r="I118" s="235">
        <f t="shared" si="3"/>
      </c>
    </row>
    <row r="119">
      <c r="B119" s="233">
        <f>IFERROR(__xludf.DUMMYFUNCTION("""COMPUTED_VALUE"""),"Future")</f>
      </c>
      <c r="C119" s="233">
        <f>IFERROR(__xludf.DUMMYFUNCTION("""COMPUTED_VALUE"""),"High Growth")</f>
      </c>
      <c r="D119" s="235">
        <f>IFERROR(__xludf.DUMMYFUNCTION("""COMPUTED_VALUE"""),0.0972)</f>
      </c>
      <c r="E119" s="235">
        <f>IFERROR(__xludf.DUMMYFUNCTION("""COMPUTED_VALUE"""),0.0415)</f>
      </c>
      <c r="F119" s="235">
        <f>IFERROR(__xludf.DUMMYFUNCTION("""COMPUTED_VALUE"""),0.0537)</f>
      </c>
      <c r="G119" s="235">
        <f t="shared" si="1"/>
      </c>
      <c r="H119" s="235">
        <f t="shared" si="2"/>
      </c>
      <c r="I119" s="235">
        <f t="shared" si="3"/>
      </c>
    </row>
    <row r="120">
      <c r="B120" s="233">
        <f>IFERROR(__xludf.DUMMYFUNCTION("""COMPUTED_VALUE"""),"Colonial First State")</f>
      </c>
      <c r="C120" s="233">
        <f>IFERROR(__xludf.DUMMYFUNCTION("""COMPUTED_VALUE"""),"Aus shares")</f>
      </c>
      <c r="D120" s="235">
        <f>IFERROR(__xludf.DUMMYFUNCTION("""COMPUTED_VALUE"""),0.1175)</f>
      </c>
      <c r="E120" s="235">
        <f>IFERROR(__xludf.DUMMYFUNCTION("""COMPUTED_VALUE"""),0.1099)</f>
      </c>
      <c r="F120" s="235">
        <f>IFERROR(__xludf.DUMMYFUNCTION("""COMPUTED_VALUE"""),0.0593)</f>
      </c>
      <c r="G120" s="235">
        <f t="shared" si="1"/>
      </c>
      <c r="H120" s="235">
        <f t="shared" si="2"/>
      </c>
      <c r="I120" s="235">
        <f t="shared" si="3"/>
      </c>
    </row>
    <row r="121">
      <c r="B121" s="233">
        <f>IFERROR(__xludf.DUMMYFUNCTION("""COMPUTED_VALUE"""),"Colonial First State")</f>
      </c>
      <c r="C121" s="233">
        <f>IFERROR(__xludf.DUMMYFUNCTION("""COMPUTED_VALUE"""),"Aus shares")</f>
      </c>
      <c r="D121" s="235">
        <f>IFERROR(__xludf.DUMMYFUNCTION("""COMPUTED_VALUE"""),0.1391)</f>
      </c>
      <c r="E121" s="235">
        <f>IFERROR(__xludf.DUMMYFUNCTION("""COMPUTED_VALUE"""),0.1063)</f>
      </c>
      <c r="F121" s="235">
        <f>IFERROR(__xludf.DUMMYFUNCTION("""COMPUTED_VALUE"""),0.0725)</f>
      </c>
      <c r="G121" s="235">
        <f t="shared" si="1"/>
      </c>
      <c r="H121" s="235">
        <f t="shared" si="2"/>
      </c>
      <c r="I121" s="235">
        <f t="shared" si="3"/>
      </c>
    </row>
    <row r="122">
      <c r="B122" s="233">
        <f>IFERROR(__xludf.DUMMYFUNCTION("""COMPUTED_VALUE"""),"Colonial First State")</f>
      </c>
      <c r="C122" s="233">
        <f>IFERROR(__xludf.DUMMYFUNCTION("""COMPUTED_VALUE"""),"Int shares")</f>
      </c>
      <c r="D122" s="235">
        <f>IFERROR(__xludf.DUMMYFUNCTION("""COMPUTED_VALUE"""),0.1622)</f>
      </c>
      <c r="E122" s="235">
        <f>IFERROR(__xludf.DUMMYFUNCTION("""COMPUTED_VALUE"""),0.0842)</f>
      </c>
      <c r="F122" s="235">
        <f>IFERROR(__xludf.DUMMYFUNCTION("""COMPUTED_VALUE"""),0.072)</f>
      </c>
      <c r="G122" s="235">
        <f t="shared" si="1"/>
      </c>
      <c r="H122" s="235">
        <f t="shared" si="2"/>
      </c>
      <c r="I122" s="235">
        <f t="shared" si="3"/>
      </c>
    </row>
    <row r="123">
      <c r="B123" s="233">
        <f>IFERROR(__xludf.DUMMYFUNCTION("""COMPUTED_VALUE"""),"Colonial First State")</f>
      </c>
      <c r="C123" s="233">
        <f>IFERROR(__xludf.DUMMYFUNCTION("""COMPUTED_VALUE"""),"Int shares")</f>
      </c>
      <c r="D123" s="235">
        <f>IFERROR(__xludf.DUMMYFUNCTION("""COMPUTED_VALUE"""),0.1796)</f>
      </c>
      <c r="E123" s="235">
        <f>IFERROR(__xludf.DUMMYFUNCTION("""COMPUTED_VALUE"""),0.1145)</f>
      </c>
      <c r="F123" s="235">
        <f>IFERROR(__xludf.DUMMYFUNCTION("""COMPUTED_VALUE"""),0.0993)</f>
      </c>
      <c r="G123" s="235">
        <f t="shared" si="1"/>
      </c>
      <c r="H123" s="235">
        <f t="shared" si="2"/>
      </c>
      <c r="I123" s="235">
        <f t="shared" si="3"/>
      </c>
    </row>
    <row r="124">
      <c r="B124" s="233">
        <f>IFERROR(__xludf.DUMMYFUNCTION("""COMPUTED_VALUE"""),"Colonial First State")</f>
      </c>
      <c r="C124" s="233">
        <f>IFERROR(__xludf.DUMMYFUNCTION("""COMPUTED_VALUE"""),"Aus &amp; Int shares")</f>
      </c>
      <c r="D124" s="235">
        <f>IFERROR(__xludf.DUMMYFUNCTION("""COMPUTED_VALUE"""),0.14432)</f>
      </c>
      <c r="E124" s="235">
        <f>IFERROR(__xludf.DUMMYFUNCTION("""COMPUTED_VALUE"""),0.09448)</f>
      </c>
      <c r="F124" s="235">
        <f>IFERROR(__xludf.DUMMYFUNCTION("""COMPUTED_VALUE"""),0.06692)</f>
      </c>
      <c r="G124" s="235">
        <f t="shared" si="1"/>
      </c>
      <c r="H124" s="235">
        <f t="shared" si="2"/>
      </c>
      <c r="I124" s="235">
        <f t="shared" si="3"/>
      </c>
    </row>
    <row r="125">
      <c r="B125" s="233">
        <f>IFERROR(__xludf.DUMMYFUNCTION("""COMPUTED_VALUE"""),"Colonial First State")</f>
      </c>
      <c r="C125" s="233">
        <f>IFERROR(__xludf.DUMMYFUNCTION("""COMPUTED_VALUE"""),"Aus &amp; Int shares")</f>
      </c>
      <c r="D125" s="235">
        <f>IFERROR(__xludf.DUMMYFUNCTION("""COMPUTED_VALUE"""),0.16340000000000002)</f>
      </c>
      <c r="E125" s="235">
        <f>IFERROR(__xludf.DUMMYFUNCTION("""COMPUTED_VALUE"""),0.11122)</f>
      </c>
      <c r="F125" s="235">
        <f>IFERROR(__xludf.DUMMYFUNCTION("""COMPUTED_VALUE"""),0.08857999999999999)</f>
      </c>
      <c r="G125" s="235">
        <f t="shared" si="1"/>
      </c>
      <c r="H125" s="235">
        <f t="shared" si="2"/>
      </c>
      <c r="I125" s="235">
        <f t="shared" si="3"/>
      </c>
    </row>
    <row r="126">
      <c r="B126" s="233">
        <f>IFERROR(__xludf.DUMMYFUNCTION("""COMPUTED_VALUE"""),"Colonial First State")</f>
      </c>
      <c r="C126" s="233">
        <f>IFERROR(__xludf.DUMMYFUNCTION("""COMPUTED_VALUE"""),"High Growth")</f>
      </c>
      <c r="D126" s="235">
        <f>IFERROR(__xludf.DUMMYFUNCTION("""COMPUTED_VALUE"""),0.0942)</f>
      </c>
      <c r="E126" s="235">
        <f>IFERROR(__xludf.DUMMYFUNCTION("""COMPUTED_VALUE"""),0.085)</f>
      </c>
      <c r="F126" s="235">
        <f>IFERROR(__xludf.DUMMYFUNCTION("""COMPUTED_VALUE"""),0.0537)</f>
      </c>
      <c r="G126" s="235">
        <f t="shared" si="1"/>
      </c>
      <c r="H126" s="235">
        <f t="shared" si="2"/>
      </c>
      <c r="I126" s="235">
        <f t="shared" si="3"/>
      </c>
    </row>
    <row r="127">
      <c r="B127" s="233">
        <f>IFERROR(__xludf.DUMMYFUNCTION("""COMPUTED_VALUE"""),"Colonial First State")</f>
      </c>
      <c r="C127" s="233">
        <f>IFERROR(__xludf.DUMMYFUNCTION("""COMPUTED_VALUE"""),"High Growth")</f>
      </c>
      <c r="D127" s="235">
        <f>IFERROR(__xludf.DUMMYFUNCTION("""COMPUTED_VALUE"""),0.106)</f>
      </c>
      <c r="E127" s="235">
        <f>IFERROR(__xludf.DUMMYFUNCTION("""COMPUTED_VALUE"""),0.1178)</f>
      </c>
      <c r="F127" s="235">
        <f>IFERROR(__xludf.DUMMYFUNCTION("""COMPUTED_VALUE"""),0.0657)</f>
      </c>
      <c r="G127" s="235">
        <f t="shared" si="1"/>
      </c>
      <c r="H127" s="235">
        <f t="shared" si="2"/>
      </c>
      <c r="I127" s="235">
        <f t="shared" si="3"/>
      </c>
    </row>
    <row r="128">
      <c r="B128" s="233">
        <f>IFERROR(__xludf.DUMMYFUNCTION("""COMPUTED_VALUE"""),"Colonial First State")</f>
      </c>
      <c r="C128" s="233">
        <f>IFERROR(__xludf.DUMMYFUNCTION("""COMPUTED_VALUE"""),"High Growth")</f>
      </c>
      <c r="D128" s="235">
        <f>IFERROR(__xludf.DUMMYFUNCTION("""COMPUTED_VALUE"""),0.1079)</f>
      </c>
      <c r="E128" s="235">
        <f>IFERROR(__xludf.DUMMYFUNCTION("""COMPUTED_VALUE"""),0.091)</f>
      </c>
      <c r="F128" s="233"/>
      <c r="G128" s="235">
        <f t="shared" si="1"/>
      </c>
      <c r="H128" s="235">
        <f t="shared" si="2"/>
      </c>
      <c r="I128" s="235">
        <f t="shared" si="3"/>
      </c>
    </row>
    <row r="129">
      <c r="B129" s="233">
        <f>IFERROR(__xludf.DUMMYFUNCTION("""COMPUTED_VALUE"""),"AMP")</f>
      </c>
      <c r="C129" s="233">
        <f>IFERROR(__xludf.DUMMYFUNCTION("""COMPUTED_VALUE"""),"Aus shares")</f>
      </c>
      <c r="D129" s="235">
        <f>IFERROR(__xludf.DUMMYFUNCTION("""COMPUTED_VALUE"""),0.112)</f>
      </c>
      <c r="E129" s="235">
        <f>IFERROR(__xludf.DUMMYFUNCTION("""COMPUTED_VALUE"""),0.1014)</f>
      </c>
      <c r="F129" s="235">
        <f>IFERROR(__xludf.DUMMYFUNCTION("""COMPUTED_VALUE"""),0.0676)</f>
      </c>
      <c r="G129" s="235">
        <f t="shared" si="1"/>
      </c>
      <c r="H129" s="235">
        <f t="shared" si="2"/>
      </c>
      <c r="I129" s="235">
        <f t="shared" si="3"/>
      </c>
    </row>
    <row r="130">
      <c r="B130" s="233">
        <f>IFERROR(__xludf.DUMMYFUNCTION("""COMPUTED_VALUE"""),"AMP")</f>
      </c>
      <c r="C130" s="233">
        <f>IFERROR(__xludf.DUMMYFUNCTION("""COMPUTED_VALUE"""),"Aus shares")</f>
      </c>
      <c r="D130" s="235">
        <f>IFERROR(__xludf.DUMMYFUNCTION("""COMPUTED_VALUE"""),0.1295)</f>
      </c>
      <c r="E130" s="235">
        <f>IFERROR(__xludf.DUMMYFUNCTION("""COMPUTED_VALUE"""),0.1051)</f>
      </c>
      <c r="F130" s="235">
        <f>IFERROR(__xludf.DUMMYFUNCTION("""COMPUTED_VALUE"""),0.0694)</f>
      </c>
      <c r="G130" s="235">
        <f t="shared" si="1"/>
      </c>
      <c r="H130" s="235">
        <f t="shared" si="2"/>
      </c>
      <c r="I130" s="235">
        <f t="shared" si="3"/>
      </c>
    </row>
    <row r="131">
      <c r="B131" s="233">
        <f>IFERROR(__xludf.DUMMYFUNCTION("""COMPUTED_VALUE"""),"AMP")</f>
      </c>
      <c r="C131" s="233">
        <f>IFERROR(__xludf.DUMMYFUNCTION("""COMPUTED_VALUE"""),"Int shares")</f>
      </c>
      <c r="D131" s="235">
        <f>IFERROR(__xludf.DUMMYFUNCTION("""COMPUTED_VALUE"""),0.1563)</f>
      </c>
      <c r="E131" s="235">
        <f>IFERROR(__xludf.DUMMYFUNCTION("""COMPUTED_VALUE"""),0.1021)</f>
      </c>
      <c r="F131" s="235">
        <f>IFERROR(__xludf.DUMMYFUNCTION("""COMPUTED_VALUE"""),0.091)</f>
      </c>
      <c r="G131" s="235">
        <f t="shared" si="1"/>
      </c>
      <c r="H131" s="235">
        <f t="shared" si="2"/>
      </c>
      <c r="I131" s="235">
        <f t="shared" si="3"/>
      </c>
    </row>
    <row r="132">
      <c r="B132" s="233">
        <f>IFERROR(__xludf.DUMMYFUNCTION("""COMPUTED_VALUE"""),"AMP")</f>
      </c>
      <c r="C132" s="233">
        <f>IFERROR(__xludf.DUMMYFUNCTION("""COMPUTED_VALUE"""),"Int shares")</f>
      </c>
      <c r="D132" s="235">
        <f>IFERROR(__xludf.DUMMYFUNCTION("""COMPUTED_VALUE"""),0.1994)</f>
      </c>
      <c r="E132" s="235">
        <f>IFERROR(__xludf.DUMMYFUNCTION("""COMPUTED_VALUE"""),0.1197)</f>
      </c>
      <c r="F132" s="235">
        <f>IFERROR(__xludf.DUMMYFUNCTION("""COMPUTED_VALUE"""),0.1009)</f>
      </c>
      <c r="G132" s="235">
        <f t="shared" si="1"/>
      </c>
      <c r="H132" s="235">
        <f t="shared" si="2"/>
      </c>
      <c r="I132" s="235">
        <f t="shared" si="3"/>
      </c>
    </row>
    <row r="133">
      <c r="B133" s="233">
        <f>IFERROR(__xludf.DUMMYFUNCTION("""COMPUTED_VALUE"""),"AMP")</f>
      </c>
      <c r="C133" s="233">
        <f>IFERROR(__xludf.DUMMYFUNCTION("""COMPUTED_VALUE"""),"Aus &amp; Int shares")</f>
      </c>
      <c r="D133" s="235">
        <f>IFERROR(__xludf.DUMMYFUNCTION("""COMPUTED_VALUE"""),0.13857999999999998)</f>
      </c>
      <c r="E133" s="235">
        <f>IFERROR(__xludf.DUMMYFUNCTION("""COMPUTED_VALUE"""),0.10182)</f>
      </c>
      <c r="F133" s="235">
        <f>IFERROR(__xludf.DUMMYFUNCTION("""COMPUTED_VALUE"""),0.08163999999999999)</f>
      </c>
      <c r="G133" s="235">
        <f t="shared" si="1"/>
      </c>
      <c r="H133" s="235">
        <f t="shared" si="2"/>
      </c>
      <c r="I133" s="235">
        <f t="shared" si="3"/>
      </c>
    </row>
    <row r="134">
      <c r="B134" s="233">
        <f>IFERROR(__xludf.DUMMYFUNCTION("""COMPUTED_VALUE"""),"AMP")</f>
      </c>
      <c r="C134" s="233">
        <f>IFERROR(__xludf.DUMMYFUNCTION("""COMPUTED_VALUE"""),"Aus &amp; Int shares")</f>
      </c>
      <c r="D134" s="235">
        <f>IFERROR(__xludf.DUMMYFUNCTION("""COMPUTED_VALUE"""),0.17144)</f>
      </c>
      <c r="E134" s="235">
        <f>IFERROR(__xludf.DUMMYFUNCTION("""COMPUTED_VALUE"""),0.11385999999999999)</f>
      </c>
      <c r="F134" s="235">
        <f>IFERROR(__xludf.DUMMYFUNCTION("""COMPUTED_VALUE"""),0.0883)</f>
      </c>
      <c r="G134" s="235">
        <f t="shared" si="1"/>
      </c>
      <c r="H134" s="235">
        <f t="shared" si="2"/>
      </c>
      <c r="I134" s="235">
        <f t="shared" si="3"/>
      </c>
    </row>
    <row r="135">
      <c r="B135" s="233">
        <f>IFERROR(__xludf.DUMMYFUNCTION("""COMPUTED_VALUE"""),"AMP")</f>
      </c>
      <c r="C135" s="233">
        <f>IFERROR(__xludf.DUMMYFUNCTION("""COMPUTED_VALUE"""),"High Growth")</f>
      </c>
      <c r="D135" s="235">
        <f>IFERROR(__xludf.DUMMYFUNCTION("""COMPUTED_VALUE"""),0.1039)</f>
      </c>
      <c r="E135" s="235">
        <f>IFERROR(__xludf.DUMMYFUNCTION("""COMPUTED_VALUE"""),0.0884)</f>
      </c>
      <c r="F135" s="235">
        <f>IFERROR(__xludf.DUMMYFUNCTION("""COMPUTED_VALUE"""),0.0583)</f>
      </c>
      <c r="G135" s="235">
        <f t="shared" si="1"/>
      </c>
      <c r="H135" s="235">
        <f t="shared" si="2"/>
      </c>
      <c r="I135" s="235">
        <f t="shared" si="3"/>
      </c>
    </row>
    <row r="136">
      <c r="B136" s="233">
        <f>IFERROR(__xludf.DUMMYFUNCTION("""COMPUTED_VALUE"""),"AMP")</f>
      </c>
      <c r="C136" s="233">
        <f>IFERROR(__xludf.DUMMYFUNCTION("""COMPUTED_VALUE"""),"High Growth")</f>
      </c>
      <c r="D136" s="235">
        <f>IFERROR(__xludf.DUMMYFUNCTION("""COMPUTED_VALUE"""),0.1287)</f>
      </c>
      <c r="E136" s="235">
        <f>IFERROR(__xludf.DUMMYFUNCTION("""COMPUTED_VALUE"""),0.0927)</f>
      </c>
      <c r="F136" s="235">
        <f>IFERROR(__xludf.DUMMYFUNCTION("""COMPUTED_VALUE"""),0.0675)</f>
      </c>
      <c r="G136" s="235">
        <f t="shared" si="1"/>
      </c>
      <c r="H136" s="235">
        <f t="shared" si="2"/>
      </c>
      <c r="I136" s="235">
        <f t="shared" si="3"/>
      </c>
    </row>
    <row r="137">
      <c r="B137" s="233">
        <f>IFERROR(__xludf.DUMMYFUNCTION("""COMPUTED_VALUE"""),"ANZ")</f>
      </c>
      <c r="C137" s="233"/>
      <c r="D137" s="233"/>
      <c r="E137" s="233"/>
      <c r="F137" s="233"/>
      <c r="G137" s="235">
        <f t="shared" si="1"/>
      </c>
      <c r="H137" s="235">
        <f t="shared" si="2"/>
      </c>
      <c r="I137" s="235">
        <f t="shared" si="3"/>
      </c>
    </row>
    <row r="138">
      <c r="B138" s="233">
        <f>IFERROR(__xludf.DUMMYFUNCTION("""COMPUTED_VALUE"""),"Mercer")</f>
      </c>
      <c r="C138" s="233">
        <f>IFERROR(__xludf.DUMMYFUNCTION("""COMPUTED_VALUE"""),"Aus shares")</f>
      </c>
      <c r="D138" s="235">
        <f>IFERROR(__xludf.DUMMYFUNCTION("""COMPUTED_VALUE"""),0.145)</f>
      </c>
      <c r="E138" s="235">
        <f>IFERROR(__xludf.DUMMYFUNCTION("""COMPUTED_VALUE"""),0.112)</f>
      </c>
      <c r="F138" s="235">
        <f>IFERROR(__xludf.DUMMYFUNCTION("""COMPUTED_VALUE"""),0.073)</f>
      </c>
      <c r="G138" s="235">
        <f t="shared" si="1"/>
      </c>
      <c r="H138" s="235">
        <f t="shared" si="2"/>
      </c>
      <c r="I138" s="235">
        <f t="shared" si="3"/>
      </c>
    </row>
    <row r="139">
      <c r="B139" s="233">
        <f>IFERROR(__xludf.DUMMYFUNCTION("""COMPUTED_VALUE"""),"Mercer")</f>
      </c>
      <c r="C139" s="233">
        <f>IFERROR(__xludf.DUMMYFUNCTION("""COMPUTED_VALUE"""),"Aus shares")</f>
      </c>
      <c r="D139" s="235">
        <f>IFERROR(__xludf.DUMMYFUNCTION("""COMPUTED_VALUE"""),0.141)</f>
      </c>
      <c r="E139" s="235">
        <f>IFERROR(__xludf.DUMMYFUNCTION("""COMPUTED_VALUE"""),0.108)</f>
      </c>
      <c r="F139" s="235">
        <f>IFERROR(__xludf.DUMMYFUNCTION("""COMPUTED_VALUE"""),0.072)</f>
      </c>
      <c r="G139" s="235">
        <f t="shared" si="1"/>
      </c>
      <c r="H139" s="235">
        <f t="shared" si="2"/>
      </c>
      <c r="I139" s="235">
        <f t="shared" si="3"/>
      </c>
    </row>
    <row r="140">
      <c r="B140" s="233">
        <f>IFERROR(__xludf.DUMMYFUNCTION("""COMPUTED_VALUE"""),"Mercer")</f>
      </c>
      <c r="C140" s="233">
        <f>IFERROR(__xludf.DUMMYFUNCTION("""COMPUTED_VALUE"""),"Int shares")</f>
      </c>
      <c r="D140" s="235">
        <f>IFERROR(__xludf.DUMMYFUNCTION("""COMPUTED_VALUE"""),0.185)</f>
      </c>
      <c r="E140" s="235">
        <f>IFERROR(__xludf.DUMMYFUNCTION("""COMPUTED_VALUE"""),0.117)</f>
      </c>
      <c r="F140" s="235">
        <f>IFERROR(__xludf.DUMMYFUNCTION("""COMPUTED_VALUE"""),0.1)</f>
      </c>
      <c r="G140" s="235">
        <f t="shared" si="1"/>
      </c>
      <c r="H140" s="235">
        <f t="shared" si="2"/>
      </c>
      <c r="I140" s="235">
        <f t="shared" si="3"/>
      </c>
    </row>
    <row r="141">
      <c r="B141" s="233">
        <f>IFERROR(__xludf.DUMMYFUNCTION("""COMPUTED_VALUE"""),"Mercer")</f>
      </c>
      <c r="C141" s="233">
        <f>IFERROR(__xludf.DUMMYFUNCTION("""COMPUTED_VALUE"""),"Int shares")</f>
      </c>
      <c r="D141" s="235">
        <f>IFERROR(__xludf.DUMMYFUNCTION("""COMPUTED_VALUE"""),0.206)</f>
      </c>
      <c r="E141" s="235">
        <f>IFERROR(__xludf.DUMMYFUNCTION("""COMPUTED_VALUE"""),0.126)</f>
      </c>
      <c r="F141" s="235">
        <f>IFERROR(__xludf.DUMMYFUNCTION("""COMPUTED_VALUE"""),0.107)</f>
      </c>
      <c r="G141" s="235">
        <f t="shared" si="1"/>
      </c>
      <c r="H141" s="235">
        <f t="shared" si="2"/>
      </c>
      <c r="I141" s="235">
        <f t="shared" si="3"/>
      </c>
    </row>
    <row r="142">
      <c r="B142" s="233">
        <f>IFERROR(__xludf.DUMMYFUNCTION("""COMPUTED_VALUE"""),"Mercer")</f>
      </c>
      <c r="C142" s="233">
        <f>IFERROR(__xludf.DUMMYFUNCTION("""COMPUTED_VALUE"""),"Aus &amp; Int shares")</f>
      </c>
      <c r="D142" s="235">
        <f>IFERROR(__xludf.DUMMYFUNCTION("""COMPUTED_VALUE"""),0.16899999999999998)</f>
      </c>
      <c r="E142" s="235">
        <f>IFERROR(__xludf.DUMMYFUNCTION("""COMPUTED_VALUE"""),0.115)</f>
      </c>
      <c r="F142" s="235">
        <f>IFERROR(__xludf.DUMMYFUNCTION("""COMPUTED_VALUE"""),0.0892)</f>
      </c>
      <c r="G142" s="235">
        <f t="shared" si="1"/>
      </c>
      <c r="H142" s="235">
        <f t="shared" si="2"/>
      </c>
      <c r="I142" s="235">
        <f t="shared" si="3"/>
      </c>
    </row>
    <row r="143">
      <c r="B143" s="233">
        <f>IFERROR(__xludf.DUMMYFUNCTION("""COMPUTED_VALUE"""),"Mercer")</f>
      </c>
      <c r="C143" s="233">
        <f>IFERROR(__xludf.DUMMYFUNCTION("""COMPUTED_VALUE"""),"Aus &amp; Int shares")</f>
      </c>
      <c r="D143" s="235">
        <f>IFERROR(__xludf.DUMMYFUNCTION("""COMPUTED_VALUE"""),0.18)</f>
      </c>
      <c r="E143" s="235">
        <f>IFERROR(__xludf.DUMMYFUNCTION("""COMPUTED_VALUE"""),0.1188)</f>
      </c>
      <c r="F143" s="235">
        <f>IFERROR(__xludf.DUMMYFUNCTION("""COMPUTED_VALUE"""),0.093)</f>
      </c>
      <c r="G143" s="235">
        <f t="shared" si="1"/>
      </c>
      <c r="H143" s="235">
        <f t="shared" si="2"/>
      </c>
      <c r="I143" s="235">
        <f t="shared" si="3"/>
      </c>
    </row>
    <row r="144">
      <c r="B144" s="233">
        <f>IFERROR(__xludf.DUMMYFUNCTION("""COMPUTED_VALUE"""),"Mercer")</f>
      </c>
      <c r="C144" s="233">
        <f>IFERROR(__xludf.DUMMYFUNCTION("""COMPUTED_VALUE"""),"High Growth")</f>
      </c>
      <c r="D144" s="235">
        <f>IFERROR(__xludf.DUMMYFUNCTION("""COMPUTED_VALUE"""),0.146)</f>
      </c>
      <c r="E144" s="235">
        <f>IFERROR(__xludf.DUMMYFUNCTION("""COMPUTED_VALUE"""),0.106)</f>
      </c>
      <c r="F144" s="235">
        <f>IFERROR(__xludf.DUMMYFUNCTION("""COMPUTED_VALUE"""),0.075)</f>
      </c>
      <c r="G144" s="235">
        <f t="shared" si="1"/>
      </c>
      <c r="H144" s="235">
        <f t="shared" si="2"/>
      </c>
      <c r="I144" s="235">
        <f t="shared" si="3"/>
      </c>
    </row>
    <row r="145">
      <c r="B145" s="233">
        <f>IFERROR(__xludf.DUMMYFUNCTION("""COMPUTED_VALUE"""),"Mercer")</f>
      </c>
      <c r="C145" s="233">
        <f>IFERROR(__xludf.DUMMYFUNCTION("""COMPUTED_VALUE"""),"High Growth")</f>
      </c>
      <c r="D145" s="233"/>
      <c r="E145" s="233"/>
      <c r="F145" s="233"/>
      <c r="G145" s="235">
        <f t="shared" si="1"/>
      </c>
      <c r="H145" s="235">
        <f t="shared" si="2"/>
      </c>
      <c r="I145" s="235">
        <f t="shared" si="3"/>
      </c>
    </row>
    <row r="146">
      <c r="B146" s="233">
        <f>IFERROR(__xludf.DUMMYFUNCTION("""COMPUTED_VALUE"""),"MLC")</f>
      </c>
      <c r="C146" s="233">
        <f>IFERROR(__xludf.DUMMYFUNCTION("""COMPUTED_VALUE"""),"Aus shares")</f>
      </c>
      <c r="D146" s="235">
        <f>IFERROR(__xludf.DUMMYFUNCTION("""COMPUTED_VALUE"""),0.123)</f>
      </c>
      <c r="E146" s="235">
        <f>IFERROR(__xludf.DUMMYFUNCTION("""COMPUTED_VALUE"""),0.113)</f>
      </c>
      <c r="F146" s="235">
        <f>IFERROR(__xludf.DUMMYFUNCTION("""COMPUTED_VALUE"""),0.072)</f>
      </c>
      <c r="G146" s="235">
        <f t="shared" si="1"/>
      </c>
      <c r="H146" s="235">
        <f t="shared" si="2"/>
      </c>
      <c r="I146" s="235">
        <f t="shared" si="3"/>
      </c>
    </row>
    <row r="147">
      <c r="B147" s="233">
        <f>IFERROR(__xludf.DUMMYFUNCTION("""COMPUTED_VALUE"""),"MLC")</f>
      </c>
      <c r="C147" s="233">
        <f>IFERROR(__xludf.DUMMYFUNCTION("""COMPUTED_VALUE"""),"Aus shares")</f>
      </c>
      <c r="D147" s="235">
        <f>IFERROR(__xludf.DUMMYFUNCTION("""COMPUTED_VALUE"""),0.139)</f>
      </c>
      <c r="E147" s="235">
        <f>IFERROR(__xludf.DUMMYFUNCTION("""COMPUTED_VALUE"""),0.107)</f>
      </c>
      <c r="F147" s="235">
        <f>IFERROR(__xludf.DUMMYFUNCTION("""COMPUTED_VALUE"""),0.071)</f>
      </c>
      <c r="G147" s="235">
        <f t="shared" si="1"/>
      </c>
      <c r="H147" s="235">
        <f t="shared" si="2"/>
      </c>
      <c r="I147" s="235">
        <f t="shared" si="3"/>
      </c>
    </row>
    <row r="148">
      <c r="B148" s="233">
        <f>IFERROR(__xludf.DUMMYFUNCTION("""COMPUTED_VALUE"""),"MLC")</f>
      </c>
      <c r="C148" s="233">
        <f>IFERROR(__xludf.DUMMYFUNCTION("""COMPUTED_VALUE"""),"Int shares")</f>
      </c>
      <c r="D148" s="235">
        <f>IFERROR(__xludf.DUMMYFUNCTION("""COMPUTED_VALUE"""),0.161)</f>
      </c>
      <c r="E148" s="235">
        <f>IFERROR(__xludf.DUMMYFUNCTION("""COMPUTED_VALUE"""),0.11)</f>
      </c>
      <c r="F148" s="235">
        <f>IFERROR(__xludf.DUMMYFUNCTION("""COMPUTED_VALUE"""),0.087)</f>
      </c>
      <c r="G148" s="235">
        <f t="shared" si="1"/>
      </c>
      <c r="H148" s="235">
        <f t="shared" si="2"/>
      </c>
      <c r="I148" s="235">
        <f t="shared" si="3"/>
      </c>
    </row>
    <row r="149">
      <c r="B149" s="233">
        <f>IFERROR(__xludf.DUMMYFUNCTION("""COMPUTED_VALUE"""),"MLC")</f>
      </c>
      <c r="C149" s="233">
        <f>IFERROR(__xludf.DUMMYFUNCTION("""COMPUTED_VALUE"""),"Int shares")</f>
      </c>
      <c r="D149" s="235">
        <f>IFERROR(__xludf.DUMMYFUNCTION("""COMPUTED_VALUE"""),0.167)</f>
      </c>
      <c r="E149" s="235">
        <f>IFERROR(__xludf.DUMMYFUNCTION("""COMPUTED_VALUE"""),0.122)</f>
      </c>
      <c r="F149" s="235">
        <f>IFERROR(__xludf.DUMMYFUNCTION("""COMPUTED_VALUE"""),0.101)</f>
      </c>
      <c r="G149" s="235">
        <f t="shared" si="1"/>
      </c>
      <c r="H149" s="235">
        <f t="shared" si="2"/>
      </c>
      <c r="I149" s="235">
        <f t="shared" si="3"/>
      </c>
    </row>
    <row r="150">
      <c r="B150" s="233">
        <f>IFERROR(__xludf.DUMMYFUNCTION("""COMPUTED_VALUE"""),"MLC")</f>
      </c>
      <c r="C150" s="233">
        <f>IFERROR(__xludf.DUMMYFUNCTION("""COMPUTED_VALUE"""),"Aus &amp; Int shares")</f>
      </c>
      <c r="D150" s="235">
        <f>IFERROR(__xludf.DUMMYFUNCTION("""COMPUTED_VALUE"""),0.1458)</f>
      </c>
      <c r="E150" s="235">
        <f>IFERROR(__xludf.DUMMYFUNCTION("""COMPUTED_VALUE"""),0.11120000000000001)</f>
      </c>
      <c r="F150" s="235">
        <f>IFERROR(__xludf.DUMMYFUNCTION("""COMPUTED_VALUE"""),0.08099999999999999)</f>
      </c>
      <c r="G150" s="235">
        <f t="shared" si="1"/>
      </c>
      <c r="H150" s="235">
        <f t="shared" si="2"/>
      </c>
      <c r="I150" s="235">
        <f t="shared" si="3"/>
      </c>
    </row>
    <row r="151">
      <c r="B151" s="233">
        <f>IFERROR(__xludf.DUMMYFUNCTION("""COMPUTED_VALUE"""),"MLC")</f>
      </c>
      <c r="C151" s="233">
        <f>IFERROR(__xludf.DUMMYFUNCTION("""COMPUTED_VALUE"""),"Aus &amp; Int shares")</f>
      </c>
      <c r="D151" s="235">
        <f>IFERROR(__xludf.DUMMYFUNCTION("""COMPUTED_VALUE"""),0.1558)</f>
      </c>
      <c r="E151" s="235">
        <f>IFERROR(__xludf.DUMMYFUNCTION("""COMPUTED_VALUE"""),0.116)</f>
      </c>
      <c r="F151" s="235">
        <f>IFERROR(__xludf.DUMMYFUNCTION("""COMPUTED_VALUE"""),0.089)</f>
      </c>
      <c r="G151" s="235">
        <f t="shared" si="1"/>
      </c>
      <c r="H151" s="235">
        <f t="shared" si="2"/>
      </c>
      <c r="I151" s="235">
        <f t="shared" si="3"/>
      </c>
    </row>
    <row r="152">
      <c r="B152" s="233">
        <f>IFERROR(__xludf.DUMMYFUNCTION("""COMPUTED_VALUE"""),"MLC")</f>
      </c>
      <c r="C152" s="233">
        <f>IFERROR(__xludf.DUMMYFUNCTION("""COMPUTED_VALUE"""),"High Growth")</f>
      </c>
      <c r="D152" s="235">
        <f>IFERROR(__xludf.DUMMYFUNCTION("""COMPUTED_VALUE"""),0.146)</f>
      </c>
      <c r="E152" s="235">
        <f>IFERROR(__xludf.DUMMYFUNCTION("""COMPUTED_VALUE"""),0.142)</f>
      </c>
      <c r="F152" s="235">
        <f>IFERROR(__xludf.DUMMYFUNCTION("""COMPUTED_VALUE"""),0.091)</f>
      </c>
      <c r="G152" s="235">
        <f t="shared" si="1"/>
      </c>
      <c r="H152" s="235">
        <f t="shared" si="2"/>
      </c>
      <c r="I152" s="235">
        <f t="shared" si="3"/>
      </c>
    </row>
    <row r="153">
      <c r="B153" s="233">
        <f>IFERROR(__xludf.DUMMYFUNCTION("""COMPUTED_VALUE"""),"MLC")</f>
      </c>
      <c r="C153" s="233">
        <f>IFERROR(__xludf.DUMMYFUNCTION("""COMPUTED_VALUE"""),"High Growth")</f>
      </c>
      <c r="D153" s="235">
        <f>IFERROR(__xludf.DUMMYFUNCTION("""COMPUTED_VALUE"""),0.111)</f>
      </c>
      <c r="E153" s="235">
        <f>IFERROR(__xludf.DUMMYFUNCTION("""COMPUTED_VALUE"""),0.082)</f>
      </c>
      <c r="F153" s="235">
        <f>IFERROR(__xludf.DUMMYFUNCTION("""COMPUTED_VALUE"""),0.06)</f>
      </c>
      <c r="G153" s="235">
        <f t="shared" si="1"/>
      </c>
      <c r="H153" s="235">
        <f t="shared" si="2"/>
      </c>
      <c r="I153" s="235">
        <f t="shared" si="3"/>
      </c>
    </row>
    <row r="154">
      <c r="B154" s="233">
        <f>IFERROR(__xludf.DUMMYFUNCTION("""COMPUTED_VALUE"""),"TelstraSuper")</f>
      </c>
      <c r="C154" s="233">
        <f>IFERROR(__xludf.DUMMYFUNCTION("""COMPUTED_VALUE"""),"Aus shares")</f>
      </c>
      <c r="D154" s="235">
        <f>IFERROR(__xludf.DUMMYFUNCTION("""COMPUTED_VALUE"""),0.1395)</f>
      </c>
      <c r="E154" s="235">
        <f>IFERROR(__xludf.DUMMYFUNCTION("""COMPUTED_VALUE"""),0.1187)</f>
      </c>
      <c r="F154" s="235">
        <f>IFERROR(__xludf.DUMMYFUNCTION("""COMPUTED_VALUE"""),0.0727)</f>
      </c>
      <c r="G154" s="235">
        <f t="shared" si="1"/>
      </c>
      <c r="H154" s="235">
        <f t="shared" si="2"/>
      </c>
      <c r="I154" s="235">
        <f t="shared" si="3"/>
      </c>
    </row>
    <row r="155">
      <c r="B155" s="233">
        <f>IFERROR(__xludf.DUMMYFUNCTION("""COMPUTED_VALUE"""),"TelstraSuper")</f>
      </c>
      <c r="C155" s="233">
        <f>IFERROR(__xludf.DUMMYFUNCTION("""COMPUTED_VALUE"""),"Int shares")</f>
      </c>
      <c r="D155" s="235">
        <f>IFERROR(__xludf.DUMMYFUNCTION("""COMPUTED_VALUE"""),0.1884)</f>
      </c>
      <c r="E155" s="235">
        <f>IFERROR(__xludf.DUMMYFUNCTION("""COMPUTED_VALUE"""),0.1077)</f>
      </c>
      <c r="F155" s="235">
        <f>IFERROR(__xludf.DUMMYFUNCTION("""COMPUTED_VALUE"""),0.0778)</f>
      </c>
      <c r="G155" s="235">
        <f t="shared" si="1"/>
      </c>
      <c r="H155" s="235">
        <f t="shared" si="2"/>
      </c>
      <c r="I155" s="235">
        <f t="shared" si="3"/>
      </c>
    </row>
    <row r="156">
      <c r="B156" s="233">
        <f>IFERROR(__xludf.DUMMYFUNCTION("""COMPUTED_VALUE"""),"TelstraSuper")</f>
      </c>
      <c r="C156" s="233">
        <f>IFERROR(__xludf.DUMMYFUNCTION("""COMPUTED_VALUE"""),"Aus &amp; Int shares")</f>
      </c>
      <c r="D156" s="235">
        <f>IFERROR(__xludf.DUMMYFUNCTION("""COMPUTED_VALUE"""),0.16884000000000002)</f>
      </c>
      <c r="E156" s="235">
        <f>IFERROR(__xludf.DUMMYFUNCTION("""COMPUTED_VALUE"""),0.1121)</f>
      </c>
      <c r="F156" s="235">
        <f>IFERROR(__xludf.DUMMYFUNCTION("""COMPUTED_VALUE"""),0.07576)</f>
      </c>
      <c r="G156" s="235">
        <f t="shared" si="1"/>
      </c>
      <c r="H156" s="235">
        <f t="shared" si="2"/>
      </c>
      <c r="I156" s="235">
        <f t="shared" si="3"/>
      </c>
    </row>
    <row r="157">
      <c r="B157" s="233">
        <f>IFERROR(__xludf.DUMMYFUNCTION("""COMPUTED_VALUE"""),"TelstraSuper")</f>
      </c>
      <c r="C157" s="233">
        <f>IFERROR(__xludf.DUMMYFUNCTION("""COMPUTED_VALUE"""),"High Growth")</f>
      </c>
      <c r="D157" s="235">
        <f>IFERROR(__xludf.DUMMYFUNCTION("""COMPUTED_VALUE"""),0.1153)</f>
      </c>
      <c r="E157" s="235">
        <f>IFERROR(__xludf.DUMMYFUNCTION("""COMPUTED_VALUE"""),0.1045)</f>
      </c>
      <c r="F157" s="235">
        <f>IFERROR(__xludf.DUMMYFUNCTION("""COMPUTED_VALUE"""),0.0731)</f>
      </c>
      <c r="G157" s="235">
        <f t="shared" si="1"/>
      </c>
      <c r="H157" s="235">
        <f t="shared" si="2"/>
      </c>
      <c r="I157" s="235">
        <f t="shared" si="3"/>
      </c>
    </row>
    <row r="158">
      <c r="B158" s="233">
        <f>IFERROR(__xludf.DUMMYFUNCTION("""COMPUTED_VALUE"""),"PSSap")</f>
      </c>
      <c r="C158" s="233">
        <f>IFERROR(__xludf.DUMMYFUNCTION("""COMPUTED_VALUE"""),"High Growth")</f>
      </c>
      <c r="D158" s="235">
        <f>IFERROR(__xludf.DUMMYFUNCTION("""COMPUTED_VALUE"""),0.1144)</f>
      </c>
      <c r="E158" s="235">
        <f>IFERROR(__xludf.DUMMYFUNCTION("""COMPUTED_VALUE"""),0.0998)</f>
      </c>
      <c r="F158" s="235">
        <f>IFERROR(__xludf.DUMMYFUNCTION("""COMPUTED_VALUE"""),0.0821)</f>
      </c>
      <c r="G158" s="235">
        <f t="shared" si="1"/>
      </c>
      <c r="H158" s="235">
        <f t="shared" si="2"/>
      </c>
      <c r="I158" s="235">
        <f t="shared" si="3"/>
      </c>
    </row>
    <row r="159">
      <c r="B159" s="233"/>
      <c r="C159" s="233"/>
      <c r="D159" s="233"/>
      <c r="E159" s="233"/>
      <c r="F159" s="233"/>
    </row>
    <row r="160">
      <c r="B160" s="233"/>
      <c r="C160" s="233"/>
      <c r="D160" s="233"/>
      <c r="E160" s="233"/>
      <c r="F160" s="233"/>
    </row>
    <row r="161">
      <c r="B161" s="233"/>
      <c r="C161" s="233"/>
      <c r="D161" s="233"/>
      <c r="E161" s="233"/>
      <c r="F161" s="233"/>
    </row>
    <row r="162">
      <c r="B162" s="233"/>
      <c r="C162" s="233"/>
      <c r="D162" s="233"/>
      <c r="E162" s="233"/>
      <c r="F162" s="233"/>
    </row>
    <row r="163">
      <c r="B163" s="233"/>
      <c r="C163" s="233"/>
      <c r="D163" s="233"/>
      <c r="E163" s="233"/>
      <c r="F163" s="233"/>
    </row>
    <row r="164">
      <c r="B164" s="233"/>
      <c r="C164" s="233"/>
      <c r="D164" s="233"/>
      <c r="E164" s="233"/>
      <c r="F164" s="233"/>
    </row>
    <row r="165">
      <c r="B165" s="233"/>
      <c r="C165" s="233"/>
      <c r="D165" s="233"/>
      <c r="E165" s="233"/>
      <c r="F165" s="233"/>
    </row>
    <row r="166">
      <c r="B166" s="233"/>
      <c r="C166" s="233"/>
      <c r="D166" s="233"/>
      <c r="E166" s="233"/>
      <c r="F166" s="233"/>
    </row>
    <row r="167">
      <c r="B167" s="233"/>
      <c r="C167" s="233"/>
      <c r="D167" s="233"/>
      <c r="E167" s="233"/>
      <c r="F167" s="233"/>
    </row>
    <row r="168">
      <c r="B168" s="233"/>
      <c r="C168" s="233"/>
      <c r="D168" s="233"/>
      <c r="E168" s="233"/>
      <c r="F168" s="233"/>
    </row>
    <row r="169">
      <c r="B169" s="233"/>
      <c r="C169" s="233"/>
      <c r="D169" s="233"/>
      <c r="E169" s="233"/>
      <c r="F169" s="233"/>
    </row>
    <row r="170">
      <c r="B170" s="233"/>
      <c r="C170" s="233"/>
      <c r="D170" s="233"/>
      <c r="E170" s="233"/>
      <c r="F170" s="233"/>
    </row>
    <row r="171">
      <c r="B171" s="233"/>
      <c r="C171" s="233"/>
      <c r="D171" s="233"/>
      <c r="E171" s="233"/>
      <c r="F171" s="233"/>
    </row>
    <row r="172">
      <c r="B172" s="233"/>
      <c r="C172" s="233"/>
      <c r="D172" s="233"/>
      <c r="E172" s="233"/>
      <c r="F172" s="233"/>
    </row>
    <row r="173">
      <c r="B173" s="233"/>
      <c r="C173" s="233"/>
      <c r="D173" s="233"/>
      <c r="E173" s="233"/>
      <c r="F173" s="233"/>
    </row>
    <row r="174">
      <c r="B174" s="233"/>
      <c r="C174" s="233"/>
      <c r="D174" s="233"/>
      <c r="E174" s="233"/>
      <c r="F174" s="233"/>
    </row>
    <row r="175">
      <c r="B175" s="233"/>
      <c r="C175" s="233"/>
      <c r="D175" s="233"/>
      <c r="E175" s="233"/>
      <c r="F175" s="233"/>
    </row>
    <row r="176">
      <c r="B176" s="233"/>
      <c r="C176" s="233"/>
      <c r="D176" s="233"/>
      <c r="E176" s="233"/>
      <c r="F176" s="233"/>
    </row>
    <row r="177">
      <c r="B177" s="233"/>
      <c r="C177" s="233"/>
      <c r="D177" s="233"/>
      <c r="E177" s="233"/>
      <c r="F177" s="233"/>
    </row>
    <row r="178">
      <c r="B178" s="233"/>
      <c r="C178" s="233"/>
      <c r="D178" s="233"/>
      <c r="E178" s="233"/>
      <c r="F178" s="233"/>
    </row>
    <row r="179">
      <c r="B179" s="233"/>
      <c r="C179" s="233"/>
      <c r="D179" s="233"/>
      <c r="E179" s="233"/>
      <c r="F179" s="233"/>
    </row>
    <row r="180">
      <c r="B180" s="233"/>
      <c r="C180" s="233"/>
      <c r="D180" s="233"/>
      <c r="E180" s="233"/>
      <c r="F180" s="233"/>
    </row>
    <row r="181">
      <c r="B181" s="233"/>
      <c r="C181" s="233"/>
      <c r="D181" s="233"/>
      <c r="E181" s="233"/>
      <c r="F181" s="233"/>
    </row>
    <row r="182">
      <c r="B182" s="233"/>
      <c r="C182" s="233"/>
      <c r="D182" s="233"/>
      <c r="E182" s="233"/>
      <c r="F182" s="233"/>
    </row>
    <row r="183">
      <c r="B183" s="233"/>
      <c r="C183" s="233"/>
      <c r="D183" s="233"/>
      <c r="E183" s="233"/>
      <c r="F183" s="233"/>
    </row>
    <row r="184">
      <c r="B184" s="233"/>
      <c r="C184" s="233"/>
      <c r="D184" s="233"/>
      <c r="E184" s="233"/>
      <c r="F184" s="233"/>
    </row>
    <row r="185">
      <c r="B185" s="233"/>
      <c r="C185" s="233"/>
      <c r="D185" s="233"/>
      <c r="E185" s="233"/>
      <c r="F185" s="233"/>
    </row>
    <row r="186">
      <c r="B186" s="233"/>
      <c r="C186" s="233"/>
      <c r="D186" s="233"/>
      <c r="E186" s="233"/>
      <c r="F186" s="233"/>
    </row>
    <row r="187">
      <c r="B187" s="233"/>
      <c r="C187" s="233"/>
      <c r="D187" s="233"/>
      <c r="E187" s="233"/>
      <c r="F187" s="233"/>
    </row>
    <row r="188">
      <c r="B188" s="233"/>
      <c r="C188" s="233"/>
      <c r="D188" s="233"/>
      <c r="E188" s="233"/>
      <c r="F188" s="233"/>
    </row>
    <row r="189">
      <c r="B189" s="233"/>
      <c r="C189" s="233"/>
      <c r="D189" s="233"/>
      <c r="E189" s="233"/>
      <c r="F189" s="233"/>
    </row>
    <row r="190">
      <c r="B190" s="233"/>
      <c r="C190" s="233"/>
      <c r="D190" s="233"/>
      <c r="E190" s="233"/>
      <c r="F190" s="233"/>
    </row>
    <row r="191">
      <c r="B191" s="233"/>
      <c r="C191" s="233"/>
      <c r="D191" s="233"/>
      <c r="E191" s="233"/>
      <c r="F191" s="233"/>
    </row>
    <row r="192">
      <c r="B192" s="233"/>
      <c r="C192" s="233"/>
      <c r="D192" s="233"/>
      <c r="E192" s="233"/>
      <c r="F192" s="233"/>
    </row>
    <row r="193">
      <c r="B193" s="233"/>
      <c r="C193" s="233"/>
      <c r="D193" s="233"/>
      <c r="E193" s="233"/>
      <c r="F193" s="233"/>
    </row>
    <row r="194">
      <c r="B194" s="233"/>
      <c r="C194" s="233"/>
      <c r="D194" s="233"/>
      <c r="E194" s="233"/>
      <c r="F194" s="233"/>
    </row>
    <row r="195">
      <c r="B195" s="233"/>
      <c r="C195" s="233"/>
      <c r="D195" s="233"/>
      <c r="E195" s="233"/>
      <c r="F195" s="233"/>
    </row>
    <row r="196">
      <c r="B196" s="233"/>
      <c r="C196" s="233"/>
      <c r="D196" s="233"/>
      <c r="E196" s="233"/>
      <c r="F196" s="233"/>
    </row>
    <row r="197">
      <c r="B197" s="233"/>
      <c r="C197" s="233"/>
      <c r="D197" s="233"/>
      <c r="E197" s="233"/>
      <c r="F197" s="233"/>
    </row>
    <row r="198">
      <c r="B198" s="233"/>
      <c r="C198" s="233"/>
      <c r="D198" s="233"/>
      <c r="E198" s="233"/>
      <c r="F198" s="233"/>
    </row>
    <row r="199">
      <c r="B199" s="233"/>
      <c r="C199" s="233"/>
      <c r="D199" s="233"/>
      <c r="E199" s="233"/>
      <c r="F199" s="233"/>
    </row>
    <row r="200">
      <c r="B200" s="233"/>
      <c r="C200" s="233"/>
      <c r="D200" s="233"/>
      <c r="E200" s="233"/>
      <c r="F200" s="233"/>
    </row>
    <row r="201">
      <c r="B201" s="233"/>
      <c r="C201" s="233"/>
      <c r="D201" s="233"/>
      <c r="E201" s="233"/>
      <c r="F201" s="233"/>
    </row>
    <row r="202">
      <c r="B202" s="233"/>
      <c r="C202" s="233"/>
      <c r="D202" s="233"/>
      <c r="E202" s="233"/>
      <c r="F202" s="233"/>
    </row>
    <row r="203">
      <c r="B203" s="233"/>
      <c r="C203" s="233"/>
      <c r="D203" s="233"/>
      <c r="E203" s="233"/>
      <c r="F203" s="233"/>
    </row>
    <row r="204">
      <c r="B204" s="233"/>
      <c r="C204" s="233"/>
      <c r="D204" s="233"/>
      <c r="E204" s="233"/>
      <c r="F204" s="233"/>
    </row>
    <row r="205">
      <c r="B205" s="233"/>
      <c r="C205" s="233"/>
      <c r="D205" s="233"/>
      <c r="E205" s="233"/>
      <c r="F205" s="233"/>
    </row>
    <row r="206">
      <c r="B206" s="233"/>
      <c r="C206" s="233"/>
      <c r="D206" s="233"/>
      <c r="E206" s="233"/>
      <c r="F206" s="233"/>
    </row>
    <row r="207">
      <c r="B207" s="233"/>
      <c r="C207" s="233"/>
      <c r="D207" s="233"/>
      <c r="E207" s="233"/>
      <c r="F207" s="233"/>
    </row>
    <row r="208">
      <c r="B208" s="233"/>
      <c r="C208" s="233"/>
      <c r="D208" s="233"/>
      <c r="E208" s="233"/>
      <c r="F208" s="233"/>
    </row>
    <row r="209">
      <c r="B209" s="233"/>
      <c r="C209" s="233"/>
      <c r="D209" s="233"/>
      <c r="E209" s="233"/>
      <c r="F209" s="233"/>
    </row>
    <row r="210">
      <c r="B210" s="233"/>
      <c r="C210" s="233"/>
      <c r="D210" s="233"/>
      <c r="E210" s="233"/>
      <c r="F210" s="233"/>
    </row>
    <row r="211">
      <c r="B211" s="233"/>
      <c r="C211" s="233"/>
      <c r="D211" s="233"/>
      <c r="E211" s="233"/>
      <c r="F211" s="233"/>
    </row>
    <row r="212">
      <c r="B212" s="233"/>
      <c r="C212" s="233"/>
      <c r="D212" s="233"/>
      <c r="E212" s="233"/>
      <c r="F212" s="233"/>
    </row>
    <row r="213">
      <c r="B213" s="233"/>
      <c r="C213" s="233"/>
      <c r="D213" s="233"/>
      <c r="E213" s="233"/>
      <c r="F213" s="233"/>
    </row>
    <row r="214">
      <c r="B214" s="233"/>
      <c r="C214" s="233"/>
      <c r="D214" s="233"/>
      <c r="E214" s="233"/>
      <c r="F214" s="233"/>
    </row>
    <row r="215">
      <c r="B215" s="233"/>
      <c r="C215" s="233"/>
      <c r="D215" s="233"/>
      <c r="E215" s="233"/>
      <c r="F215" s="233"/>
    </row>
    <row r="216">
      <c r="B216" s="233"/>
      <c r="C216" s="233"/>
      <c r="D216" s="233"/>
      <c r="E216" s="233"/>
      <c r="F216" s="233"/>
    </row>
    <row r="217">
      <c r="B217" s="233"/>
      <c r="C217" s="233"/>
      <c r="D217" s="233"/>
      <c r="E217" s="233"/>
      <c r="F217" s="233"/>
    </row>
    <row r="218">
      <c r="B218" s="233"/>
      <c r="C218" s="233"/>
      <c r="D218" s="233"/>
      <c r="E218" s="233"/>
      <c r="F218" s="233"/>
    </row>
    <row r="219">
      <c r="B219" s="233"/>
      <c r="C219" s="233"/>
      <c r="D219" s="233"/>
      <c r="E219" s="233"/>
      <c r="F219" s="233"/>
    </row>
    <row r="220">
      <c r="B220" s="233"/>
      <c r="C220" s="233"/>
      <c r="D220" s="233"/>
      <c r="E220" s="233"/>
      <c r="F220" s="233"/>
    </row>
    <row r="221">
      <c r="B221" s="233"/>
      <c r="C221" s="233"/>
      <c r="D221" s="233"/>
      <c r="E221" s="233"/>
      <c r="F221" s="233"/>
    </row>
    <row r="222">
      <c r="B222" s="233"/>
      <c r="C222" s="233"/>
      <c r="D222" s="233"/>
      <c r="E222" s="233"/>
      <c r="F222" s="233"/>
    </row>
    <row r="223">
      <c r="B223" s="233"/>
      <c r="C223" s="233"/>
      <c r="D223" s="233"/>
      <c r="E223" s="233"/>
      <c r="F223" s="233"/>
    </row>
    <row r="224">
      <c r="B224" s="233"/>
      <c r="C224" s="233"/>
      <c r="D224" s="233"/>
      <c r="E224" s="233"/>
      <c r="F224" s="233"/>
    </row>
    <row r="225">
      <c r="B225" s="233"/>
      <c r="C225" s="233"/>
      <c r="D225" s="233"/>
      <c r="E225" s="233"/>
      <c r="F225" s="233"/>
    </row>
    <row r="226">
      <c r="B226" s="233"/>
      <c r="C226" s="233"/>
      <c r="D226" s="233"/>
      <c r="E226" s="233"/>
      <c r="F226" s="233"/>
    </row>
    <row r="227">
      <c r="B227" s="233"/>
      <c r="C227" s="233"/>
      <c r="D227" s="233"/>
      <c r="E227" s="233"/>
      <c r="F227" s="233"/>
    </row>
    <row r="228">
      <c r="B228" s="233"/>
      <c r="C228" s="233"/>
      <c r="D228" s="233"/>
      <c r="E228" s="233"/>
      <c r="F228" s="233"/>
    </row>
    <row r="229">
      <c r="B229" s="233"/>
      <c r="C229" s="233"/>
      <c r="D229" s="233"/>
      <c r="E229" s="233"/>
      <c r="F229" s="233"/>
    </row>
    <row r="230">
      <c r="B230" s="233"/>
      <c r="C230" s="233"/>
      <c r="D230" s="233"/>
      <c r="E230" s="233"/>
      <c r="F230" s="233"/>
    </row>
    <row r="231">
      <c r="B231" s="233"/>
      <c r="C231" s="233"/>
      <c r="D231" s="233"/>
      <c r="E231" s="233"/>
      <c r="F231" s="233"/>
    </row>
    <row r="232">
      <c r="B232" s="233"/>
      <c r="C232" s="233"/>
      <c r="D232" s="233"/>
      <c r="E232" s="233"/>
      <c r="F232" s="233"/>
    </row>
    <row r="233">
      <c r="B233" s="233"/>
      <c r="C233" s="233"/>
      <c r="D233" s="233"/>
      <c r="E233" s="233"/>
      <c r="F233" s="233"/>
    </row>
    <row r="234">
      <c r="B234" s="233"/>
      <c r="C234" s="233"/>
      <c r="D234" s="233"/>
      <c r="E234" s="233"/>
      <c r="F234" s="233"/>
    </row>
    <row r="235">
      <c r="B235" s="233"/>
      <c r="C235" s="233"/>
      <c r="D235" s="233"/>
      <c r="E235" s="233"/>
      <c r="F235" s="233"/>
    </row>
    <row r="236">
      <c r="B236" s="233"/>
      <c r="C236" s="233"/>
      <c r="D236" s="233"/>
      <c r="E236" s="233"/>
      <c r="F236" s="233"/>
    </row>
    <row r="237">
      <c r="B237" s="233"/>
      <c r="C237" s="233"/>
      <c r="D237" s="233"/>
      <c r="E237" s="233"/>
      <c r="F237" s="233"/>
    </row>
    <row r="238">
      <c r="B238" s="233"/>
      <c r="C238" s="233"/>
      <c r="D238" s="233"/>
      <c r="E238" s="233"/>
      <c r="F238" s="233"/>
    </row>
    <row r="239">
      <c r="B239" s="233"/>
      <c r="C239" s="233"/>
      <c r="D239" s="233"/>
      <c r="E239" s="233"/>
      <c r="F239" s="233"/>
    </row>
    <row r="240">
      <c r="B240" s="233"/>
      <c r="C240" s="233"/>
      <c r="D240" s="233"/>
      <c r="E240" s="233"/>
      <c r="F240" s="233"/>
    </row>
    <row r="241">
      <c r="B241" s="233"/>
      <c r="C241" s="233"/>
      <c r="D241" s="233"/>
      <c r="E241" s="233"/>
      <c r="F241" s="233"/>
    </row>
    <row r="242">
      <c r="B242" s="233"/>
      <c r="C242" s="233"/>
      <c r="D242" s="233"/>
      <c r="E242" s="233"/>
      <c r="F242" s="233"/>
    </row>
    <row r="243">
      <c r="B243" s="233"/>
      <c r="C243" s="233"/>
      <c r="D243" s="233"/>
      <c r="E243" s="233"/>
      <c r="F243" s="233"/>
    </row>
    <row r="244">
      <c r="B244" s="233"/>
      <c r="C244" s="233"/>
      <c r="D244" s="233"/>
      <c r="E244" s="233"/>
      <c r="F244" s="233"/>
    </row>
    <row r="245">
      <c r="B245" s="233"/>
      <c r="C245" s="233"/>
      <c r="D245" s="233"/>
      <c r="E245" s="233"/>
      <c r="F245" s="233"/>
    </row>
    <row r="246">
      <c r="B246" s="233"/>
      <c r="C246" s="233"/>
      <c r="D246" s="233"/>
      <c r="E246" s="233"/>
      <c r="F246" s="233"/>
    </row>
    <row r="247">
      <c r="B247" s="233"/>
      <c r="C247" s="233"/>
      <c r="D247" s="233"/>
      <c r="E247" s="233"/>
      <c r="F247" s="233"/>
    </row>
    <row r="248">
      <c r="B248" s="233"/>
      <c r="C248" s="233"/>
      <c r="D248" s="233"/>
      <c r="E248" s="233"/>
      <c r="F248" s="233"/>
    </row>
    <row r="249">
      <c r="B249" s="233"/>
      <c r="C249" s="233"/>
      <c r="D249" s="233"/>
      <c r="E249" s="233"/>
      <c r="F249" s="233"/>
    </row>
    <row r="250">
      <c r="B250" s="233"/>
      <c r="C250" s="233"/>
      <c r="D250" s="233"/>
      <c r="E250" s="233"/>
      <c r="F250" s="233"/>
    </row>
    <row r="251">
      <c r="B251" s="233"/>
      <c r="C251" s="233"/>
      <c r="D251" s="233"/>
      <c r="E251" s="233"/>
      <c r="F251" s="233"/>
    </row>
    <row r="252">
      <c r="B252" s="233"/>
      <c r="C252" s="233"/>
      <c r="D252" s="233"/>
      <c r="E252" s="233"/>
      <c r="F252" s="233"/>
    </row>
    <row r="253">
      <c r="B253" s="233"/>
      <c r="C253" s="233"/>
      <c r="D253" s="233"/>
      <c r="E253" s="233"/>
      <c r="F253" s="233"/>
    </row>
    <row r="254">
      <c r="B254" s="233"/>
      <c r="C254" s="233"/>
      <c r="D254" s="233"/>
      <c r="E254" s="233"/>
      <c r="F254" s="233"/>
    </row>
    <row r="255">
      <c r="B255" s="233"/>
      <c r="C255" s="233"/>
      <c r="D255" s="233"/>
      <c r="E255" s="233"/>
      <c r="F255" s="233"/>
    </row>
    <row r="256">
      <c r="B256" s="233"/>
      <c r="C256" s="233"/>
      <c r="D256" s="233"/>
      <c r="E256" s="233"/>
      <c r="F256" s="233"/>
    </row>
    <row r="257">
      <c r="B257" s="233"/>
      <c r="C257" s="233"/>
      <c r="D257" s="233"/>
      <c r="E257" s="233"/>
      <c r="F257" s="233"/>
    </row>
    <row r="258">
      <c r="B258" s="233"/>
      <c r="C258" s="233"/>
      <c r="D258" s="233"/>
      <c r="E258" s="233"/>
      <c r="F258" s="233"/>
    </row>
    <row r="259">
      <c r="B259" s="233"/>
      <c r="C259" s="233"/>
      <c r="D259" s="233"/>
      <c r="E259" s="233"/>
      <c r="F259" s="233"/>
    </row>
    <row r="260">
      <c r="B260" s="233"/>
      <c r="C260" s="233"/>
      <c r="D260" s="233"/>
      <c r="E260" s="233"/>
      <c r="F260" s="233"/>
    </row>
    <row r="261">
      <c r="B261" s="233"/>
      <c r="C261" s="233"/>
      <c r="D261" s="233"/>
      <c r="E261" s="233"/>
      <c r="F261" s="233"/>
    </row>
    <row r="262">
      <c r="B262" s="233"/>
      <c r="C262" s="233"/>
      <c r="D262" s="233"/>
      <c r="E262" s="233"/>
      <c r="F262" s="233"/>
    </row>
    <row r="263">
      <c r="B263" s="233"/>
      <c r="C263" s="233"/>
      <c r="D263" s="233"/>
      <c r="E263" s="233"/>
      <c r="F263" s="233"/>
    </row>
    <row r="264">
      <c r="B264" s="233"/>
      <c r="C264" s="233"/>
      <c r="D264" s="233"/>
      <c r="E264" s="233"/>
      <c r="F264" s="233"/>
    </row>
    <row r="265">
      <c r="B265" s="233"/>
      <c r="C265" s="233"/>
      <c r="D265" s="233"/>
      <c r="E265" s="233"/>
      <c r="F265" s="233"/>
    </row>
    <row r="266">
      <c r="B266" s="233"/>
      <c r="C266" s="233"/>
      <c r="D266" s="233"/>
      <c r="E266" s="233"/>
      <c r="F266" s="233"/>
    </row>
    <row r="267">
      <c r="B267" s="233"/>
      <c r="C267" s="233"/>
      <c r="D267" s="233"/>
      <c r="E267" s="233"/>
      <c r="F267" s="233"/>
    </row>
    <row r="268">
      <c r="B268" s="233"/>
      <c r="C268" s="233"/>
      <c r="D268" s="233"/>
      <c r="E268" s="233"/>
      <c r="F268" s="233"/>
    </row>
    <row r="269">
      <c r="B269" s="233"/>
      <c r="C269" s="233"/>
      <c r="D269" s="233"/>
      <c r="E269" s="233"/>
      <c r="F269" s="233"/>
    </row>
    <row r="270">
      <c r="B270" s="233"/>
      <c r="C270" s="233"/>
      <c r="D270" s="233"/>
      <c r="E270" s="233"/>
      <c r="F270" s="233"/>
    </row>
    <row r="271">
      <c r="B271" s="233"/>
      <c r="C271" s="233"/>
      <c r="D271" s="233"/>
      <c r="E271" s="233"/>
      <c r="F271" s="233"/>
    </row>
    <row r="272">
      <c r="B272" s="233"/>
      <c r="C272" s="233"/>
      <c r="D272" s="233"/>
      <c r="E272" s="233"/>
      <c r="F272" s="233"/>
    </row>
    <row r="273">
      <c r="B273" s="233"/>
      <c r="C273" s="233"/>
      <c r="D273" s="233"/>
      <c r="E273" s="233"/>
      <c r="F273" s="233"/>
    </row>
    <row r="274">
      <c r="B274" s="233"/>
      <c r="C274" s="233"/>
      <c r="D274" s="233"/>
      <c r="E274" s="233"/>
      <c r="F274" s="233"/>
    </row>
    <row r="275">
      <c r="B275" s="233"/>
      <c r="C275" s="233"/>
      <c r="D275" s="233"/>
      <c r="E275" s="233"/>
      <c r="F275" s="233"/>
    </row>
    <row r="276">
      <c r="B276" s="233"/>
      <c r="C276" s="233"/>
      <c r="D276" s="233"/>
      <c r="E276" s="233"/>
      <c r="F276" s="233"/>
    </row>
    <row r="277">
      <c r="B277" s="233"/>
      <c r="C277" s="233"/>
      <c r="D277" s="233"/>
      <c r="E277" s="233"/>
      <c r="F277" s="233"/>
    </row>
    <row r="278">
      <c r="B278" s="233"/>
      <c r="C278" s="233"/>
      <c r="D278" s="233"/>
      <c r="E278" s="233"/>
      <c r="F278" s="233"/>
    </row>
    <row r="279">
      <c r="B279" s="233"/>
      <c r="C279" s="233"/>
      <c r="D279" s="233"/>
      <c r="E279" s="233"/>
      <c r="F279" s="233"/>
    </row>
    <row r="280">
      <c r="B280" s="233"/>
      <c r="C280" s="233"/>
      <c r="D280" s="233"/>
      <c r="E280" s="233"/>
      <c r="F280" s="233"/>
    </row>
    <row r="281">
      <c r="B281" s="233"/>
      <c r="C281" s="233"/>
      <c r="D281" s="233"/>
      <c r="E281" s="233"/>
      <c r="F281" s="233"/>
    </row>
    <row r="282">
      <c r="B282" s="233"/>
      <c r="C282" s="233"/>
      <c r="D282" s="233"/>
      <c r="E282" s="233"/>
      <c r="F282" s="233"/>
    </row>
    <row r="283">
      <c r="B283" s="233"/>
      <c r="C283" s="233"/>
      <c r="D283" s="233"/>
      <c r="E283" s="233"/>
      <c r="F283" s="233"/>
    </row>
    <row r="284">
      <c r="B284" s="233"/>
      <c r="C284" s="233"/>
      <c r="D284" s="233"/>
      <c r="E284" s="233"/>
      <c r="F284" s="233"/>
    </row>
    <row r="285">
      <c r="B285" s="233"/>
      <c r="C285" s="233"/>
      <c r="D285" s="233"/>
      <c r="E285" s="233"/>
      <c r="F285" s="233"/>
    </row>
    <row r="286">
      <c r="B286" s="233"/>
      <c r="C286" s="233"/>
      <c r="D286" s="233"/>
      <c r="E286" s="233"/>
      <c r="F286" s="233"/>
    </row>
    <row r="287">
      <c r="B287" s="233"/>
      <c r="C287" s="233"/>
      <c r="D287" s="233"/>
      <c r="E287" s="233"/>
      <c r="F287" s="233"/>
    </row>
    <row r="288">
      <c r="B288" s="233"/>
      <c r="C288" s="233"/>
      <c r="D288" s="233"/>
      <c r="E288" s="233"/>
      <c r="F288" s="233"/>
    </row>
    <row r="289">
      <c r="B289" s="233"/>
      <c r="C289" s="233"/>
      <c r="D289" s="233"/>
      <c r="E289" s="233"/>
      <c r="F289" s="233"/>
    </row>
    <row r="290">
      <c r="B290" s="233"/>
      <c r="C290" s="233"/>
      <c r="D290" s="233"/>
      <c r="E290" s="233"/>
      <c r="F290" s="233"/>
    </row>
    <row r="291">
      <c r="B291" s="233"/>
      <c r="C291" s="233"/>
      <c r="D291" s="233"/>
      <c r="E291" s="233"/>
      <c r="F291" s="233"/>
    </row>
    <row r="292">
      <c r="B292" s="233"/>
      <c r="C292" s="233"/>
      <c r="D292" s="233"/>
      <c r="E292" s="233"/>
      <c r="F292" s="233"/>
    </row>
    <row r="293">
      <c r="B293" s="233"/>
      <c r="C293" s="233"/>
      <c r="D293" s="233"/>
      <c r="E293" s="233"/>
      <c r="F293" s="233"/>
    </row>
    <row r="294">
      <c r="B294" s="233"/>
      <c r="C294" s="233"/>
      <c r="D294" s="233"/>
      <c r="E294" s="233"/>
      <c r="F294" s="233"/>
    </row>
    <row r="295">
      <c r="B295" s="233"/>
      <c r="C295" s="233"/>
      <c r="D295" s="233"/>
      <c r="E295" s="233"/>
      <c r="F295" s="233"/>
    </row>
    <row r="296">
      <c r="B296" s="233"/>
      <c r="C296" s="233"/>
      <c r="D296" s="233"/>
      <c r="E296" s="233"/>
      <c r="F296" s="233"/>
    </row>
    <row r="297">
      <c r="B297" s="233"/>
      <c r="C297" s="233"/>
      <c r="D297" s="233"/>
      <c r="E297" s="233"/>
      <c r="F297" s="233"/>
    </row>
    <row r="298">
      <c r="B298" s="233"/>
      <c r="C298" s="233"/>
      <c r="D298" s="233"/>
      <c r="E298" s="233"/>
      <c r="F298" s="233"/>
    </row>
    <row r="299">
      <c r="B299" s="233"/>
      <c r="C299" s="233"/>
      <c r="D299" s="233"/>
      <c r="E299" s="233"/>
      <c r="F299" s="233"/>
    </row>
    <row r="300">
      <c r="B300" s="233"/>
      <c r="C300" s="233"/>
      <c r="D300" s="233"/>
      <c r="E300" s="233"/>
      <c r="F300" s="233"/>
    </row>
    <row r="301">
      <c r="B301" s="233"/>
      <c r="C301" s="233"/>
      <c r="D301" s="233"/>
      <c r="E301" s="233"/>
      <c r="F301" s="233"/>
    </row>
    <row r="302">
      <c r="B302" s="233"/>
      <c r="C302" s="233"/>
      <c r="D302" s="233"/>
      <c r="E302" s="233"/>
      <c r="F302" s="233"/>
    </row>
    <row r="303">
      <c r="B303" s="233"/>
      <c r="C303" s="233"/>
      <c r="D303" s="233"/>
      <c r="E303" s="233"/>
      <c r="F303" s="233"/>
    </row>
    <row r="304">
      <c r="B304" s="233"/>
      <c r="C304" s="233"/>
      <c r="D304" s="233"/>
      <c r="E304" s="233"/>
      <c r="F304" s="233"/>
    </row>
    <row r="305">
      <c r="B305" s="233"/>
      <c r="C305" s="233"/>
      <c r="D305" s="233"/>
      <c r="E305" s="233"/>
      <c r="F305" s="233"/>
    </row>
    <row r="306">
      <c r="B306" s="233"/>
      <c r="C306" s="233"/>
      <c r="D306" s="233"/>
      <c r="E306" s="233"/>
      <c r="F306" s="233"/>
    </row>
    <row r="307">
      <c r="B307" s="233"/>
      <c r="C307" s="233"/>
      <c r="D307" s="233"/>
      <c r="E307" s="233"/>
      <c r="F307" s="233"/>
    </row>
    <row r="308">
      <c r="B308" s="233"/>
      <c r="C308" s="233"/>
      <c r="D308" s="233"/>
      <c r="E308" s="233"/>
      <c r="F308" s="233"/>
    </row>
    <row r="309">
      <c r="B309" s="233"/>
      <c r="C309" s="233"/>
      <c r="D309" s="233"/>
      <c r="E309" s="233"/>
      <c r="F309" s="233"/>
    </row>
    <row r="310">
      <c r="B310" s="233"/>
      <c r="C310" s="233"/>
      <c r="D310" s="233"/>
      <c r="E310" s="233"/>
      <c r="F310" s="233"/>
    </row>
    <row r="311">
      <c r="B311" s="233"/>
      <c r="C311" s="233"/>
      <c r="D311" s="233"/>
      <c r="E311" s="233"/>
      <c r="F311" s="233"/>
    </row>
    <row r="312">
      <c r="B312" s="233"/>
      <c r="C312" s="233"/>
      <c r="D312" s="233"/>
      <c r="E312" s="233"/>
      <c r="F312" s="233"/>
    </row>
    <row r="313">
      <c r="B313" s="233"/>
      <c r="C313" s="233"/>
      <c r="D313" s="233"/>
      <c r="E313" s="233"/>
      <c r="F313" s="233"/>
    </row>
    <row r="314">
      <c r="B314" s="233"/>
      <c r="C314" s="233"/>
      <c r="D314" s="233"/>
      <c r="E314" s="233"/>
      <c r="F314" s="233"/>
    </row>
    <row r="315">
      <c r="B315" s="233"/>
      <c r="C315" s="233"/>
      <c r="D315" s="233"/>
      <c r="E315" s="233"/>
      <c r="F315" s="233"/>
    </row>
    <row r="316">
      <c r="B316" s="233"/>
      <c r="C316" s="233"/>
      <c r="D316" s="233"/>
      <c r="E316" s="233"/>
      <c r="F316" s="233"/>
    </row>
    <row r="317">
      <c r="B317" s="233"/>
      <c r="C317" s="233"/>
      <c r="D317" s="233"/>
      <c r="E317" s="233"/>
      <c r="F317" s="233"/>
    </row>
    <row r="318">
      <c r="B318" s="233"/>
      <c r="C318" s="233"/>
      <c r="D318" s="233"/>
      <c r="E318" s="233"/>
      <c r="F318" s="233"/>
    </row>
    <row r="319">
      <c r="B319" s="233"/>
      <c r="C319" s="233"/>
      <c r="D319" s="233"/>
      <c r="E319" s="233"/>
      <c r="F319" s="233"/>
    </row>
    <row r="320">
      <c r="B320" s="233"/>
      <c r="C320" s="233"/>
      <c r="D320" s="233"/>
      <c r="E320" s="233"/>
      <c r="F320" s="233"/>
    </row>
    <row r="321">
      <c r="B321" s="233"/>
      <c r="C321" s="233"/>
      <c r="D321" s="233"/>
      <c r="E321" s="233"/>
      <c r="F321" s="233"/>
    </row>
    <row r="322">
      <c r="B322" s="233"/>
      <c r="C322" s="233"/>
      <c r="D322" s="233"/>
      <c r="E322" s="233"/>
      <c r="F322" s="233"/>
    </row>
    <row r="323">
      <c r="B323" s="233"/>
      <c r="C323" s="233"/>
      <c r="D323" s="233"/>
      <c r="E323" s="233"/>
      <c r="F323" s="233"/>
    </row>
    <row r="324">
      <c r="B324" s="233"/>
      <c r="C324" s="233"/>
      <c r="D324" s="233"/>
      <c r="E324" s="233"/>
      <c r="F324" s="233"/>
    </row>
    <row r="325">
      <c r="B325" s="233"/>
      <c r="C325" s="233"/>
      <c r="D325" s="233"/>
      <c r="E325" s="233"/>
      <c r="F325" s="233"/>
    </row>
    <row r="326">
      <c r="B326" s="233"/>
      <c r="C326" s="233"/>
      <c r="D326" s="233"/>
      <c r="E326" s="233"/>
      <c r="F326" s="233"/>
    </row>
    <row r="327">
      <c r="B327" s="233"/>
      <c r="C327" s="233"/>
      <c r="D327" s="233"/>
      <c r="E327" s="233"/>
      <c r="F327" s="233"/>
    </row>
    <row r="328">
      <c r="B328" s="233"/>
      <c r="C328" s="233"/>
      <c r="D328" s="233"/>
      <c r="E328" s="233"/>
      <c r="F328" s="233"/>
    </row>
    <row r="329">
      <c r="B329" s="233"/>
      <c r="C329" s="233"/>
      <c r="D329" s="233"/>
      <c r="E329" s="233"/>
      <c r="F329" s="233"/>
    </row>
    <row r="330">
      <c r="B330" s="233"/>
      <c r="C330" s="233"/>
      <c r="D330" s="233"/>
      <c r="E330" s="233"/>
      <c r="F330" s="233"/>
    </row>
    <row r="331">
      <c r="B331" s="233"/>
      <c r="C331" s="233"/>
      <c r="D331" s="233"/>
      <c r="E331" s="233"/>
      <c r="F331" s="233"/>
    </row>
    <row r="332">
      <c r="B332" s="233"/>
      <c r="C332" s="233"/>
      <c r="D332" s="233"/>
      <c r="E332" s="233"/>
      <c r="F332" s="233"/>
    </row>
    <row r="333">
      <c r="B333" s="233"/>
      <c r="C333" s="233"/>
      <c r="D333" s="233"/>
      <c r="E333" s="233"/>
      <c r="F333" s="233"/>
    </row>
    <row r="334">
      <c r="B334" s="233"/>
      <c r="C334" s="233"/>
      <c r="D334" s="233"/>
      <c r="E334" s="233"/>
      <c r="F334" s="233"/>
    </row>
    <row r="335">
      <c r="B335" s="233"/>
      <c r="C335" s="233"/>
      <c r="D335" s="233"/>
      <c r="E335" s="233"/>
      <c r="F335" s="233"/>
    </row>
    <row r="336">
      <c r="B336" s="233"/>
      <c r="C336" s="233"/>
      <c r="D336" s="233"/>
      <c r="E336" s="233"/>
      <c r="F336" s="233"/>
    </row>
    <row r="337">
      <c r="B337" s="233"/>
      <c r="C337" s="233"/>
      <c r="D337" s="233"/>
      <c r="E337" s="233"/>
      <c r="F337" s="233"/>
    </row>
    <row r="338">
      <c r="B338" s="233"/>
      <c r="C338" s="233"/>
      <c r="D338" s="233"/>
      <c r="E338" s="233"/>
      <c r="F338" s="233"/>
    </row>
    <row r="339">
      <c r="B339" s="233"/>
      <c r="C339" s="233"/>
      <c r="D339" s="233"/>
      <c r="E339" s="233"/>
      <c r="F339" s="233"/>
    </row>
    <row r="340">
      <c r="B340" s="233"/>
      <c r="C340" s="233"/>
      <c r="D340" s="233"/>
      <c r="E340" s="233"/>
      <c r="F340" s="233"/>
    </row>
  </sheetData>
  <hyperlinks>
    <hyperlink r:id="rId1" ref="O6"/>
    <hyperlink r:id="rId2" ref="O7"/>
    <hyperlink r:id="rId3" ref="O8"/>
    <hyperlink r:id="rId4" ref="O9"/>
    <hyperlink r:id="rId5" ref="O10"/>
    <hyperlink r:id="rId6" ref="O11"/>
    <hyperlink r:id="rId7" ref="O12"/>
    <hyperlink r:id="rId8" ref="O13"/>
    <hyperlink r:id="rId9" ref="O14"/>
    <hyperlink r:id="rId10" ref="O15"/>
    <hyperlink r:id="rId11" ref="O16"/>
    <hyperlink r:id="rId12" ref="O17"/>
    <hyperlink r:id="rId13" ref="O18"/>
    <hyperlink r:id="rId14" ref="O19"/>
    <hyperlink r:id="rId15" ref="O20"/>
    <hyperlink r:id="rId16" ref="O21"/>
    <hyperlink r:id="rId17" ref="O22"/>
    <hyperlink r:id="rId18" ref="O23"/>
    <hyperlink r:id="rId19" ref="O24"/>
    <hyperlink r:id="rId20" ref="O25"/>
    <hyperlink r:id="rId21" ref="O26"/>
    <hyperlink r:id="rId22" ref="O27"/>
    <hyperlink r:id="rId23" ref="O28"/>
    <hyperlink r:id="rId24" ref="O29"/>
    <hyperlink r:id="rId25" ref="O30"/>
    <hyperlink r:id="rId26" ref="O31"/>
    <hyperlink r:id="rId27" ref="O32"/>
    <hyperlink r:id="rId28" ref="O33"/>
    <hyperlink r:id="rId29" ref="O34"/>
    <hyperlink r:id="rId30" ref="O35"/>
    <hyperlink r:id="rId31" location="page=74" ref="O36"/>
    <hyperlink r:id="rId32" location="page=74" ref="O37"/>
    <hyperlink r:id="rId33" ref="O38"/>
    <hyperlink r:id="rId34" ref="O39"/>
  </hyperlinks>
  <drawing r:id="rId3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1F1F"/>
    <outlinePr summaryBelow="0" summaryRight="0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1.14"/>
    <col customWidth="1" min="5" max="5" width="15.29"/>
  </cols>
  <sheetData>
    <row r="2">
      <c r="B2" s="209" t="s">
        <v>128</v>
      </c>
    </row>
    <row r="3">
      <c r="B3" s="233">
        <f>MATCH('Advanced Savings'!F9,'Super Data'!B6:B39,0)</f>
      </c>
    </row>
    <row r="4">
      <c r="B4" s="234" t="s">
        <v>129</v>
      </c>
      <c r="C4" s="235" t="s">
        <v>130</v>
      </c>
      <c r="D4" s="234" t="s">
        <v>131</v>
      </c>
      <c r="E4" s="233" t="s">
        <v>132</v>
      </c>
      <c r="G4" s="236"/>
      <c r="H4" s="236"/>
      <c r="I4" s="236"/>
      <c r="J4" s="236"/>
      <c r="K4" s="236"/>
    </row>
    <row r="5" ht="18.0" customHeight="1">
      <c r="B5" s="236">
        <f t="array" ref="B5:F5">INDEX('Super Data'!D6:H39,B3,0)</f>
      </c>
      <c r="C5" s="235">
        <v>0.0015</v>
      </c>
      <c r="D5" s="236">
        <v>750.0</v>
      </c>
      <c r="E5" s="235">
        <v>0.0078</v>
      </c>
      <c r="F5" s="233" t="s">
        <v>133</v>
      </c>
    </row>
    <row r="7">
      <c r="B7" s="232">
        <f>MATCH('Advanced Savings'!F9,'Super Data'!B46:B158,0)</f>
      </c>
      <c r="C7" s="233" t="s">
        <v>134</v>
      </c>
    </row>
    <row r="8">
      <c r="B8" s="233" t="s">
        <v>135</v>
      </c>
      <c r="C8" s="234" t="s">
        <v>136</v>
      </c>
      <c r="D8" s="233" t="s">
        <v>137</v>
      </c>
      <c r="E8" s="234" t="s">
        <v>138</v>
      </c>
    </row>
    <row r="9">
      <c r="B9" s="238">
        <f>'Advanced Savings'!F9</f>
      </c>
      <c r="C9" s="239">
        <f t="array" ref="C9:E9">INDEX('Super Data'!G46:I158,(B7),0)</f>
      </c>
      <c r="D9" s="235">
        <v>0.11161000000000001</v>
      </c>
      <c r="E9" s="235">
        <v>0.08874500000000002</v>
      </c>
    </row>
    <row r="11">
      <c r="B11" s="209" t="s">
        <v>140</v>
      </c>
    </row>
    <row r="12">
      <c r="B12" s="233">
        <f>IF(Income!D5 &lt;= 18200, 0, IF(Income!D5 &lt;= 45000, 0.16, IF(Income!D5 &lt;= 135000, 0.3, IF(Income!D5 &lt;= 190000, 0.37, 0.45))))</f>
      </c>
    </row>
    <row r="19">
      <c r="B19" s="209" t="s">
        <v>128</v>
      </c>
    </row>
    <row r="20">
      <c r="B20" s="233">
        <f>MATCH('Advanced Savings'!F26,'Super Data'!B6:B39,0)</f>
      </c>
    </row>
    <row r="21">
      <c r="B21" s="234" t="s">
        <v>129</v>
      </c>
      <c r="C21" s="235" t="s">
        <v>130</v>
      </c>
      <c r="D21" s="234" t="s">
        <v>131</v>
      </c>
      <c r="E21" s="233" t="s">
        <v>132</v>
      </c>
    </row>
    <row r="22">
      <c r="B22" s="236">
        <f t="array" ref="B22:F22">INDEX('Super Data'!D6:H39,B20,0)</f>
      </c>
      <c r="C22" s="235">
        <v>0.001</v>
      </c>
      <c r="D22" s="236">
        <v>300.0</v>
      </c>
      <c r="E22" s="235">
        <v>0.0075</v>
      </c>
      <c r="F22" s="233" t="s">
        <v>148</v>
      </c>
    </row>
    <row r="24">
      <c r="B24" s="232">
        <f>MATCH('Advanced Savings'!F26,'Super Data'!B46:B158,0)</f>
      </c>
      <c r="C24" s="233" t="s">
        <v>134</v>
      </c>
    </row>
    <row r="25">
      <c r="B25" s="233" t="s">
        <v>135</v>
      </c>
      <c r="C25" s="234" t="s">
        <v>136</v>
      </c>
      <c r="D25" s="233" t="s">
        <v>137</v>
      </c>
      <c r="E25" s="234" t="s">
        <v>138</v>
      </c>
    </row>
    <row r="26">
      <c r="B26" s="238">
        <f>'Advanced Savings'!F26</f>
      </c>
      <c r="C26" s="239">
        <f t="array" ref="C26:E26">INDEX('Super Data'!G46:I158,(B24),0)</f>
      </c>
      <c r="D26" s="235">
        <v>0.11439428571428571</v>
      </c>
      <c r="E26" s="235">
        <v>0.07433500000000001</v>
      </c>
    </row>
    <row r="28">
      <c r="B28" s="209" t="s">
        <v>140</v>
      </c>
    </row>
    <row r="29">
      <c r="B29" s="233">
        <f>IF(Income!D23 &lt;= 18200, 0, IF(Income!D23 &lt;= 45000, 0.16, IF(Income!D23 &lt;= 135000, 0.3, IF(Income!D23 &lt;= 190000, 0.37, 0.45))))</f>
      </c>
    </row>
  </sheetData>
  <drawing r:id="rId1"/>
</worksheet>
</file>